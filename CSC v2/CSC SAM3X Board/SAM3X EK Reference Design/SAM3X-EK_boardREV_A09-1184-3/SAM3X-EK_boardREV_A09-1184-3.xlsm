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-15" yWindow="-15" windowWidth="13290" windowHeight="11835"/>
  </bookViews>
  <sheets>
    <sheet name="History " sheetId="3" r:id="rId1"/>
    <sheet name="BOM" sheetId="2" r:id="rId2"/>
    <sheet name="BOM addition" sheetId="4" r:id="rId3"/>
  </sheets>
  <definedNames>
    <definedName name="_xlnm._FilterDatabase" localSheetId="1" hidden="1">BOM!$A$1:$K$2</definedName>
    <definedName name="_xlnm.Print_Area" localSheetId="1">BOM!$A$1:$I$2</definedName>
    <definedName name="_xlnm.Print_Area" localSheetId="2">'BOM addition'!$A$1:$D$6</definedName>
    <definedName name="_xlnm.Print_Area" localSheetId="0">'History '!$A$1:$G$5</definedName>
  </definedNames>
  <calcPr calcId="125725" calcMode="manual"/>
</workbook>
</file>

<file path=xl/calcChain.xml><?xml version="1.0" encoding="utf-8"?>
<calcChain xmlns="http://schemas.openxmlformats.org/spreadsheetml/2006/main">
  <c r="B3" i="2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401"/>
  <c r="B402"/>
  <c r="B403"/>
  <c r="B404"/>
  <c r="B405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C2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2"/>
  <c r="C3" l="1"/>
  <c r="C4" s="1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C202" s="1"/>
  <c r="C203" s="1"/>
  <c r="C204" s="1"/>
  <c r="C205" s="1"/>
  <c r="C206" s="1"/>
  <c r="C207" s="1"/>
  <c r="C208" s="1"/>
  <c r="C209" s="1"/>
  <c r="C210" s="1"/>
  <c r="C211" s="1"/>
  <c r="C212" s="1"/>
  <c r="C213" s="1"/>
  <c r="C214" s="1"/>
  <c r="C215" s="1"/>
  <c r="C216" s="1"/>
  <c r="C217" s="1"/>
  <c r="C218" s="1"/>
  <c r="C219" s="1"/>
  <c r="C220" s="1"/>
  <c r="C221" s="1"/>
  <c r="C222" s="1"/>
  <c r="C223" s="1"/>
  <c r="C224" s="1"/>
  <c r="C225" s="1"/>
  <c r="C226" s="1"/>
  <c r="C227" s="1"/>
  <c r="C228" s="1"/>
  <c r="C229" s="1"/>
  <c r="C230" s="1"/>
  <c r="C231" s="1"/>
  <c r="C232" s="1"/>
  <c r="C233" s="1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49" s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C268" s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C372" s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</calcChain>
</file>

<file path=xl/sharedStrings.xml><?xml version="1.0" encoding="utf-8"?>
<sst xmlns="http://schemas.openxmlformats.org/spreadsheetml/2006/main" count="2770" uniqueCount="1110">
  <si>
    <t>Rev.</t>
  </si>
  <si>
    <t>Created By</t>
  </si>
  <si>
    <t>Date</t>
  </si>
  <si>
    <t>Verified By</t>
  </si>
  <si>
    <t>Qty</t>
  </si>
  <si>
    <t>ID</t>
  </si>
  <si>
    <t>DESIGNATION</t>
  </si>
  <si>
    <t>REFERENCE</t>
  </si>
  <si>
    <t>MANUFACTURER</t>
  </si>
  <si>
    <t>-</t>
  </si>
  <si>
    <t>What</t>
  </si>
  <si>
    <t>AUTOCOLOR</t>
  </si>
  <si>
    <t>LLe</t>
  </si>
  <si>
    <t>1</t>
  </si>
  <si>
    <t>FOOTPRINT</t>
  </si>
  <si>
    <t>Val</t>
  </si>
  <si>
    <t>FIXED</t>
  </si>
  <si>
    <t>Schematics</t>
  </si>
  <si>
    <t>Board Test</t>
  </si>
  <si>
    <t>Atmel</t>
  </si>
  <si>
    <t>BP1</t>
  </si>
  <si>
    <t>KALER</t>
  </si>
  <si>
    <t>BP2</t>
  </si>
  <si>
    <t>BP3</t>
  </si>
  <si>
    <t>2</t>
  </si>
  <si>
    <t>22uF</t>
  </si>
  <si>
    <t>LOW ESR TANTALUM CAPACITOR</t>
  </si>
  <si>
    <t>TPSB226K016R0400</t>
  </si>
  <si>
    <t>AVX</t>
  </si>
  <si>
    <t>10</t>
  </si>
  <si>
    <t>C2</t>
  </si>
  <si>
    <t>TPSA106K010R1800</t>
  </si>
  <si>
    <t>C10</t>
  </si>
  <si>
    <t>C23</t>
  </si>
  <si>
    <t>C38</t>
  </si>
  <si>
    <t>C54</t>
  </si>
  <si>
    <t>C59</t>
  </si>
  <si>
    <t>C61</t>
  </si>
  <si>
    <t>C76</t>
  </si>
  <si>
    <t>C79</t>
  </si>
  <si>
    <t>C91</t>
  </si>
  <si>
    <t>C60</t>
  </si>
  <si>
    <t>220uF</t>
  </si>
  <si>
    <t>TPSC227K006R0250</t>
  </si>
  <si>
    <t>C63</t>
  </si>
  <si>
    <t>100uF</t>
  </si>
  <si>
    <t>TPSB107K006R0400</t>
  </si>
  <si>
    <t>C78</t>
  </si>
  <si>
    <t>6</t>
  </si>
  <si>
    <t>C4</t>
  </si>
  <si>
    <t>4.7uF</t>
  </si>
  <si>
    <t>X5R CERAMIC CAPACITOR</t>
  </si>
  <si>
    <t>C2012X5R1C475KT</t>
  </si>
  <si>
    <t>TDK</t>
  </si>
  <si>
    <t>C17</t>
  </si>
  <si>
    <t>C36</t>
  </si>
  <si>
    <t>C43</t>
  </si>
  <si>
    <t>2.2uF</t>
  </si>
  <si>
    <t>7</t>
  </si>
  <si>
    <t>C29</t>
  </si>
  <si>
    <t>C34</t>
  </si>
  <si>
    <t>C35</t>
  </si>
  <si>
    <t>C37</t>
  </si>
  <si>
    <t>C66</t>
  </si>
  <si>
    <t>C67</t>
  </si>
  <si>
    <t>C72</t>
  </si>
  <si>
    <t>4</t>
  </si>
  <si>
    <t>C19</t>
  </si>
  <si>
    <t>Ceramic capacitor</t>
  </si>
  <si>
    <t>C1608X7R1H100KT</t>
  </si>
  <si>
    <t>C25</t>
  </si>
  <si>
    <t>C27</t>
  </si>
  <si>
    <t>C88</t>
  </si>
  <si>
    <t>C24</t>
  </si>
  <si>
    <t>C1608X7R1H200KT</t>
  </si>
  <si>
    <t>C26</t>
  </si>
  <si>
    <t>54</t>
  </si>
  <si>
    <t>C1</t>
  </si>
  <si>
    <t>Ceramic Capacitor</t>
  </si>
  <si>
    <t>C1608X7R1C104KT</t>
  </si>
  <si>
    <t>C3</t>
  </si>
  <si>
    <t>C5</t>
  </si>
  <si>
    <t>C6</t>
  </si>
  <si>
    <t>C7</t>
  </si>
  <si>
    <t>C8</t>
  </si>
  <si>
    <t>C9</t>
  </si>
  <si>
    <t>C11</t>
  </si>
  <si>
    <t>C12</t>
  </si>
  <si>
    <t>C13</t>
  </si>
  <si>
    <t>C14</t>
  </si>
  <si>
    <t>C15</t>
  </si>
  <si>
    <t>C16</t>
  </si>
  <si>
    <t>C18</t>
  </si>
  <si>
    <t>C20</t>
  </si>
  <si>
    <t>C21</t>
  </si>
  <si>
    <t>C22</t>
  </si>
  <si>
    <t>C28</t>
  </si>
  <si>
    <t>C30</t>
  </si>
  <si>
    <t>C33</t>
  </si>
  <si>
    <t>C39</t>
  </si>
  <si>
    <t>C40</t>
  </si>
  <si>
    <t>C41</t>
  </si>
  <si>
    <t>C42</t>
  </si>
  <si>
    <t>C45</t>
  </si>
  <si>
    <t>C47</t>
  </si>
  <si>
    <t>C48</t>
  </si>
  <si>
    <t>C49</t>
  </si>
  <si>
    <t>C50</t>
  </si>
  <si>
    <t>C51</t>
  </si>
  <si>
    <t>C52</t>
  </si>
  <si>
    <t>C53</t>
  </si>
  <si>
    <t>C55</t>
  </si>
  <si>
    <t>C56</t>
  </si>
  <si>
    <t>C57</t>
  </si>
  <si>
    <t>C58</t>
  </si>
  <si>
    <t>C62</t>
  </si>
  <si>
    <t>C77</t>
  </si>
  <si>
    <t>C80</t>
  </si>
  <si>
    <t>C81</t>
  </si>
  <si>
    <t>C85</t>
  </si>
  <si>
    <t>C89</t>
  </si>
  <si>
    <t>C90</t>
  </si>
  <si>
    <t>C86</t>
  </si>
  <si>
    <t>C1608X7R1C103KT</t>
  </si>
  <si>
    <t>C87</t>
  </si>
  <si>
    <t>C64</t>
  </si>
  <si>
    <t>C65</t>
  </si>
  <si>
    <t>C71</t>
  </si>
  <si>
    <t>C74</t>
  </si>
  <si>
    <t>C75</t>
  </si>
  <si>
    <t>C1608X7R1H180KT</t>
  </si>
  <si>
    <t>C1608X7R1H222KT</t>
  </si>
  <si>
    <t>3</t>
  </si>
  <si>
    <t>C82</t>
  </si>
  <si>
    <t>C83</t>
  </si>
  <si>
    <t>C84</t>
  </si>
  <si>
    <t>C68</t>
  </si>
  <si>
    <t>C69</t>
  </si>
  <si>
    <t>C73</t>
  </si>
  <si>
    <t>D2</t>
  </si>
  <si>
    <t>D3</t>
  </si>
  <si>
    <t>D4</t>
  </si>
  <si>
    <t>5</t>
  </si>
  <si>
    <t>NOT POPULATED</t>
  </si>
  <si>
    <t>J11</t>
  </si>
  <si>
    <t>2.1mm Power PCB Connector</t>
  </si>
  <si>
    <t>18</t>
  </si>
  <si>
    <t>JP1</t>
  </si>
  <si>
    <t>JP2</t>
  </si>
  <si>
    <t>JP3</t>
  </si>
  <si>
    <t>JP6</t>
  </si>
  <si>
    <t>JP7</t>
  </si>
  <si>
    <t>JP8</t>
  </si>
  <si>
    <t>JP9</t>
  </si>
  <si>
    <t>JP10</t>
  </si>
  <si>
    <t>JP11</t>
  </si>
  <si>
    <t>JP12</t>
  </si>
  <si>
    <t>JP13</t>
  </si>
  <si>
    <t>JP14</t>
  </si>
  <si>
    <t>JP15</t>
  </si>
  <si>
    <t>JP16</t>
  </si>
  <si>
    <t>JP17</t>
  </si>
  <si>
    <t>JP18</t>
  </si>
  <si>
    <t>JP19</t>
  </si>
  <si>
    <t>JP21</t>
  </si>
  <si>
    <t>JP4</t>
  </si>
  <si>
    <t>JP20</t>
  </si>
  <si>
    <t>J1</t>
  </si>
  <si>
    <t>J2</t>
  </si>
  <si>
    <t>FH26-39S-0.3SHW</t>
  </si>
  <si>
    <t>0.3mm Contact Pitch,Flexible Printed Circuit ZIF CONNECTOR</t>
  </si>
  <si>
    <t>HRS</t>
  </si>
  <si>
    <t>J3</t>
  </si>
  <si>
    <t>MALE RIGHT ANGLED</t>
  </si>
  <si>
    <t>D-SUB 9  RIGHT ANGLED MALE</t>
  </si>
  <si>
    <t>J4</t>
  </si>
  <si>
    <t>J9</t>
  </si>
  <si>
    <t>J5</t>
  </si>
  <si>
    <t>J7</t>
  </si>
  <si>
    <t>J8</t>
  </si>
  <si>
    <t>J10</t>
  </si>
  <si>
    <t>B1</t>
  </si>
  <si>
    <t>SMD EMI Suppression Ferrite Beads</t>
  </si>
  <si>
    <t>GAUSSTEK GARP</t>
  </si>
  <si>
    <t>B2</t>
  </si>
  <si>
    <t>B3</t>
  </si>
  <si>
    <t>BN03K314S300R</t>
  </si>
  <si>
    <t>J12</t>
  </si>
  <si>
    <t>J13</t>
  </si>
  <si>
    <t>J14</t>
  </si>
  <si>
    <t>J15</t>
  </si>
  <si>
    <t>J16</t>
  </si>
  <si>
    <t>L1</t>
  </si>
  <si>
    <t>Inductor</t>
  </si>
  <si>
    <t>MURATA</t>
  </si>
  <si>
    <t>L2</t>
  </si>
  <si>
    <t>MN12</t>
  </si>
  <si>
    <t>High-Current Low-Dropout Regulator</t>
  </si>
  <si>
    <t>MICREL</t>
  </si>
  <si>
    <t>MN13</t>
  </si>
  <si>
    <t>ZEN056V130A24LS</t>
  </si>
  <si>
    <t>Circuit Protection</t>
  </si>
  <si>
    <t>TYCO</t>
  </si>
  <si>
    <t>MN1</t>
  </si>
  <si>
    <t>ATMEL</t>
  </si>
  <si>
    <t>MN2</t>
  </si>
  <si>
    <t>MICRON</t>
  </si>
  <si>
    <t>MN4</t>
  </si>
  <si>
    <t>Charge Pump For White LED Applications</t>
  </si>
  <si>
    <t>ANALOGIC TECH</t>
  </si>
  <si>
    <t>MN3</t>
  </si>
  <si>
    <t>MN9</t>
  </si>
  <si>
    <t>MN10</t>
  </si>
  <si>
    <t>MN11</t>
  </si>
  <si>
    <t>TI</t>
  </si>
  <si>
    <t>MN14</t>
  </si>
  <si>
    <t>BNX002-01</t>
  </si>
  <si>
    <t>Precision Micropower Shunt Voltage Reference</t>
  </si>
  <si>
    <t>National</t>
  </si>
  <si>
    <t>MAX3232CSE</t>
  </si>
  <si>
    <t>Tranceiver RS232</t>
  </si>
  <si>
    <t>MAXIM</t>
  </si>
  <si>
    <t>MN7</t>
  </si>
  <si>
    <t>MN8</t>
  </si>
  <si>
    <t>MN5</t>
  </si>
  <si>
    <t>ADS7843E</t>
  </si>
  <si>
    <t>TOUCH SCREEN CONTROLLER</t>
  </si>
  <si>
    <t>Q1</t>
  </si>
  <si>
    <t>IRF</t>
  </si>
  <si>
    <t>IRLML2502</t>
  </si>
  <si>
    <t>N-Channel MOSFET</t>
  </si>
  <si>
    <t>R1</t>
  </si>
  <si>
    <t>YAGEO</t>
  </si>
  <si>
    <t>R18</t>
  </si>
  <si>
    <t>R54</t>
  </si>
  <si>
    <t>R81</t>
  </si>
  <si>
    <t>R86</t>
  </si>
  <si>
    <t>RC22H 1%</t>
  </si>
  <si>
    <t>R21</t>
  </si>
  <si>
    <t>100K</t>
  </si>
  <si>
    <t>RC21 5%</t>
  </si>
  <si>
    <t>RC0603JR-07100KL</t>
  </si>
  <si>
    <t>R22</t>
  </si>
  <si>
    <t>R28</t>
  </si>
  <si>
    <t>R29</t>
  </si>
  <si>
    <t>R31</t>
  </si>
  <si>
    <t>R32</t>
  </si>
  <si>
    <t>R34</t>
  </si>
  <si>
    <t>R35</t>
  </si>
  <si>
    <t>R38</t>
  </si>
  <si>
    <t>R65</t>
  </si>
  <si>
    <t>R70</t>
  </si>
  <si>
    <t>R71</t>
  </si>
  <si>
    <t>R72</t>
  </si>
  <si>
    <t>R73</t>
  </si>
  <si>
    <t>R74</t>
  </si>
  <si>
    <t>R78</t>
  </si>
  <si>
    <t>R79</t>
  </si>
  <si>
    <t>R89</t>
  </si>
  <si>
    <t>R48</t>
  </si>
  <si>
    <t>R49</t>
  </si>
  <si>
    <t>10K</t>
  </si>
  <si>
    <t>RC0603JR-0710KL</t>
  </si>
  <si>
    <t>R56</t>
  </si>
  <si>
    <t>R57</t>
  </si>
  <si>
    <t>R58</t>
  </si>
  <si>
    <t>R59</t>
  </si>
  <si>
    <t>R60</t>
  </si>
  <si>
    <t>R80</t>
  </si>
  <si>
    <t>11</t>
  </si>
  <si>
    <t>R10</t>
  </si>
  <si>
    <t>47K</t>
  </si>
  <si>
    <t>RC0603JR-0747KL</t>
  </si>
  <si>
    <t>R11</t>
  </si>
  <si>
    <t>R12</t>
  </si>
  <si>
    <t>R13</t>
  </si>
  <si>
    <t>R17</t>
  </si>
  <si>
    <t>R19</t>
  </si>
  <si>
    <t>R36</t>
  </si>
  <si>
    <t>R37</t>
  </si>
  <si>
    <t>R52</t>
  </si>
  <si>
    <t>R64</t>
  </si>
  <si>
    <t>R68</t>
  </si>
  <si>
    <t>34</t>
  </si>
  <si>
    <t>R6</t>
  </si>
  <si>
    <t>0R</t>
  </si>
  <si>
    <t>RC0603JR-070RL</t>
  </si>
  <si>
    <t>R7</t>
  </si>
  <si>
    <t>R14</t>
  </si>
  <si>
    <t>R15</t>
  </si>
  <si>
    <t>R16</t>
  </si>
  <si>
    <t>R20</t>
  </si>
  <si>
    <t>R24</t>
  </si>
  <si>
    <t>R25</t>
  </si>
  <si>
    <t>R26</t>
  </si>
  <si>
    <t>R27</t>
  </si>
  <si>
    <t>R30</t>
  </si>
  <si>
    <t>R33</t>
  </si>
  <si>
    <t>R46</t>
  </si>
  <si>
    <t>R47</t>
  </si>
  <si>
    <t>R51</t>
  </si>
  <si>
    <t>R53</t>
  </si>
  <si>
    <t>R55</t>
  </si>
  <si>
    <t>R61</t>
  </si>
  <si>
    <t>R62</t>
  </si>
  <si>
    <t>R63</t>
  </si>
  <si>
    <t>R75</t>
  </si>
  <si>
    <t>R82</t>
  </si>
  <si>
    <t>R84</t>
  </si>
  <si>
    <t>R93</t>
  </si>
  <si>
    <t>R94</t>
  </si>
  <si>
    <t>R95</t>
  </si>
  <si>
    <t>R96</t>
  </si>
  <si>
    <t>R97</t>
  </si>
  <si>
    <t>R98</t>
  </si>
  <si>
    <t>R99</t>
  </si>
  <si>
    <t>R100</t>
  </si>
  <si>
    <t>R103</t>
  </si>
  <si>
    <t>R104</t>
  </si>
  <si>
    <t>R105</t>
  </si>
  <si>
    <t>R2</t>
  </si>
  <si>
    <t>R3</t>
  </si>
  <si>
    <t>R41</t>
  </si>
  <si>
    <t>R42</t>
  </si>
  <si>
    <t>R43</t>
  </si>
  <si>
    <t>R44</t>
  </si>
  <si>
    <t>R23</t>
  </si>
  <si>
    <t>R45</t>
  </si>
  <si>
    <t>R76</t>
  </si>
  <si>
    <t>330R</t>
  </si>
  <si>
    <t>RC0603FR-07330RL</t>
  </si>
  <si>
    <t>R50</t>
  </si>
  <si>
    <t>R92</t>
  </si>
  <si>
    <t>R66</t>
  </si>
  <si>
    <t>R67</t>
  </si>
  <si>
    <t>R77</t>
  </si>
  <si>
    <t>RC0603FR-07200RL</t>
  </si>
  <si>
    <t>R83</t>
  </si>
  <si>
    <t>R88</t>
  </si>
  <si>
    <t>R85</t>
  </si>
  <si>
    <t>470R</t>
  </si>
  <si>
    <t>RC0603JR-07470RL</t>
  </si>
  <si>
    <t>R87</t>
  </si>
  <si>
    <t>R90</t>
  </si>
  <si>
    <t>R91</t>
  </si>
  <si>
    <t>1R</t>
  </si>
  <si>
    <t>RC0603JR-071RL</t>
  </si>
  <si>
    <t>R101</t>
  </si>
  <si>
    <t>R102</t>
  </si>
  <si>
    <t>R39</t>
  </si>
  <si>
    <t>4.7K</t>
  </si>
  <si>
    <t>RC0603JR-074K7L</t>
  </si>
  <si>
    <t>R40</t>
  </si>
  <si>
    <t>Chip Resistor Arrays</t>
  </si>
  <si>
    <t>Y1</t>
  </si>
  <si>
    <t>Y2</t>
  </si>
  <si>
    <t>Crystal 32.768 kHz</t>
  </si>
  <si>
    <t>20</t>
  </si>
  <si>
    <t>8</t>
  </si>
  <si>
    <t>9</t>
  </si>
  <si>
    <t>12</t>
  </si>
  <si>
    <t>13</t>
  </si>
  <si>
    <t>14</t>
  </si>
  <si>
    <t>15</t>
  </si>
  <si>
    <t>16</t>
  </si>
  <si>
    <t>17</t>
  </si>
  <si>
    <t>19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</si>
  <si>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</si>
  <si>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</si>
  <si>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</si>
  <si>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</si>
  <si>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</si>
  <si>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</si>
  <si>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</si>
  <si>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</si>
  <si>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</si>
  <si>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</si>
  <si>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</si>
  <si>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</si>
  <si>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</si>
  <si>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</si>
  <si>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</si>
  <si>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</si>
  <si>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</si>
  <si>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</si>
  <si>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</si>
  <si>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</si>
  <si>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</si>
  <si>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</si>
  <si>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</si>
  <si>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</si>
  <si>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</si>
  <si>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</si>
  <si>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</si>
  <si>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</si>
  <si>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</si>
  <si>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</si>
  <si>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</si>
  <si>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</si>
  <si>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</si>
  <si>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</si>
  <si>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</si>
  <si>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</si>
  <si>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</si>
  <si>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</si>
  <si>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</si>
  <si>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</si>
  <si>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</si>
  <si>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</si>
  <si>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</si>
  <si>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</si>
  <si>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</si>
  <si>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</si>
  <si>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</si>
  <si>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</si>
  <si>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</si>
  <si>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</si>
  <si>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</si>
  <si>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</si>
  <si>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</si>
  <si>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</si>
  <si>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</si>
  <si>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</si>
  <si>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</si>
  <si>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</si>
  <si>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</si>
  <si>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</si>
  <si>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</si>
  <si>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</si>
  <si>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</si>
  <si>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</si>
  <si>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</si>
  <si>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</si>
  <si>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</si>
  <si>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</si>
  <si>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</si>
  <si>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</si>
  <si>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</si>
  <si>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</si>
  <si>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</si>
  <si>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</si>
  <si>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</si>
  <si>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</si>
  <si>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</si>
  <si>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</si>
  <si>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</si>
  <si>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</si>
  <si>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</si>
  <si>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</si>
  <si>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</si>
  <si>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</si>
  <si>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</si>
  <si>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</si>
  <si>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</si>
  <si>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</si>
  <si>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</si>
  <si>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</si>
  <si>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</si>
  <si>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</si>
  <si>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</si>
  <si>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</si>
  <si>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</si>
  <si>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</si>
  <si>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</si>
  <si>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</si>
  <si>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</si>
  <si>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</si>
  <si>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</si>
  <si>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</si>
  <si>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</si>
  <si>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</si>
  <si>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</si>
  <si>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</si>
  <si>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</si>
  <si>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</si>
  <si>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</si>
  <si>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</si>
  <si>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</si>
  <si>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</si>
  <si>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</si>
  <si>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</si>
  <si>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</si>
  <si>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</si>
  <si>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</si>
  <si>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</si>
  <si>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</si>
  <si>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</si>
  <si>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</si>
  <si>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</si>
  <si>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</si>
  <si>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</si>
  <si>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</si>
  <si>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</si>
  <si>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</si>
  <si>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</si>
  <si>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</si>
  <si>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</si>
  <si>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</si>
  <si>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</si>
  <si>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</si>
  <si>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</si>
  <si>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</si>
  <si>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</si>
  <si>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</si>
  <si>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</si>
  <si>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</si>
  <si>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</si>
  <si>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</si>
  <si>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</si>
  <si>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</si>
  <si>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</si>
  <si>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</si>
  <si>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</si>
  <si>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</si>
  <si>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</si>
  <si>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</si>
  <si>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</si>
  <si>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</si>
  <si>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</si>
  <si>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</si>
  <si>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</si>
  <si>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</si>
  <si>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</si>
  <si>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</si>
  <si>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</si>
  <si>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</si>
  <si>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</si>
  <si>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</si>
  <si>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</si>
  <si>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</si>
  <si>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</si>
  <si>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</si>
  <si>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</si>
  <si>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</si>
  <si>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</si>
  <si>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</si>
  <si>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</si>
  <si>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</si>
  <si>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</si>
  <si>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</si>
  <si>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</si>
  <si>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</si>
  <si>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</si>
  <si>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</si>
  <si>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</si>
  <si>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</si>
  <si>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</si>
  <si>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</si>
  <si>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</si>
  <si>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</si>
  <si>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</si>
  <si>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</si>
  <si>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</si>
  <si>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</si>
  <si>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</si>
  <si>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</si>
  <si>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</si>
  <si>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</si>
  <si>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</si>
  <si>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</si>
  <si>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</si>
  <si>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</si>
  <si>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</si>
  <si>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</si>
  <si>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</si>
  <si>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</si>
  <si>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</si>
  <si>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</si>
  <si>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</si>
  <si>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</si>
  <si>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</si>
  <si>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</si>
  <si>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</si>
  <si>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</si>
  <si>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</si>
  <si>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</si>
  <si>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</si>
  <si>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</si>
  <si>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</si>
  <si>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</si>
  <si>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</si>
  <si>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</si>
  <si>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</si>
  <si>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</si>
  <si>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</si>
  <si>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</si>
  <si>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</si>
  <si>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</si>
  <si>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</si>
  <si>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</si>
  <si>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</si>
  <si>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</si>
  <si>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</si>
  <si>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</si>
  <si>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</si>
  <si>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</si>
  <si>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</si>
  <si>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</si>
  <si>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</si>
  <si>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</si>
  <si>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</si>
  <si>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</si>
  <si>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</si>
  <si>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</si>
  <si>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</si>
  <si>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</si>
  <si>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</si>
  <si>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</si>
  <si>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</si>
  <si>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</si>
  <si>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</si>
  <si>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</si>
  <si>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</si>
  <si>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</si>
  <si>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</si>
  <si>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</si>
  <si>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</si>
  <si>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</si>
  <si>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</si>
  <si>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</si>
  <si>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</si>
  <si>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</si>
  <si>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</si>
  <si>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</si>
  <si>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</si>
  <si>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</si>
  <si>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</si>
  <si>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</si>
  <si>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</si>
  <si>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</si>
  <si>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</si>
  <si>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</si>
  <si>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</si>
  <si>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</si>
  <si>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</si>
  <si>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</si>
  <si>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</si>
  <si>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</si>
  <si>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</si>
  <si>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</si>
  <si>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</si>
  <si>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</si>
  <si>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</si>
  <si>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PCB</t>
  </si>
  <si>
    <t>299</t>
  </si>
  <si>
    <t>Chip Led Green</t>
  </si>
  <si>
    <t>T062-507</t>
  </si>
  <si>
    <t>Sealed surface mount tactile switch</t>
  </si>
  <si>
    <t>20pF</t>
  </si>
  <si>
    <t>100nF</t>
  </si>
  <si>
    <t>10uF</t>
  </si>
  <si>
    <t>1uF</t>
  </si>
  <si>
    <t>22nF</t>
  </si>
  <si>
    <t>C1608X7R1C223KT</t>
  </si>
  <si>
    <t>C2012X5R1C225KT</t>
  </si>
  <si>
    <t>10nF</t>
  </si>
  <si>
    <t>18pF</t>
  </si>
  <si>
    <t>2.2nF</t>
  </si>
  <si>
    <t>D1</t>
  </si>
  <si>
    <t>ESD Protectors</t>
  </si>
  <si>
    <t>PACDN044Y5R</t>
  </si>
  <si>
    <t>California Micro Devices</t>
  </si>
  <si>
    <t>JP22</t>
  </si>
  <si>
    <t>JP23</t>
  </si>
  <si>
    <t>7143-035S</t>
  </si>
  <si>
    <t>3 Positions, 5.0 mm pitch Printed circuit terminal block</t>
  </si>
  <si>
    <t>MP179P 2.1mm</t>
  </si>
  <si>
    <t>NAND Flash Memoty 2Gb x 8</t>
  </si>
  <si>
    <t>ADM3485ARZ</t>
  </si>
  <si>
    <t>Half-Duplex RS-485 Transceiver</t>
  </si>
  <si>
    <t>ADI</t>
  </si>
  <si>
    <t>ADM3312EARU</t>
  </si>
  <si>
    <t>Serial Port Tranceiver</t>
  </si>
  <si>
    <t>EMI FILTER</t>
  </si>
  <si>
    <t>MIC29152WU</t>
  </si>
  <si>
    <t>47Kx4</t>
  </si>
  <si>
    <t>RV1</t>
  </si>
  <si>
    <t>V5.5MLA0603</t>
  </si>
  <si>
    <t>transient voltage surge suppression devices</t>
  </si>
  <si>
    <t>V5.5MLA0603N</t>
  </si>
  <si>
    <t>LITTELFUSE</t>
  </si>
  <si>
    <t>49.9R</t>
  </si>
  <si>
    <t>RC0603FR-0749R9L</t>
  </si>
  <si>
    <t>R109</t>
  </si>
  <si>
    <t>R4</t>
  </si>
  <si>
    <t>R5</t>
  </si>
  <si>
    <t>R106</t>
  </si>
  <si>
    <t>R118</t>
  </si>
  <si>
    <t>R119</t>
  </si>
  <si>
    <t>R120</t>
  </si>
  <si>
    <t>R121</t>
  </si>
  <si>
    <t>R110</t>
  </si>
  <si>
    <t>120R</t>
  </si>
  <si>
    <t>RC0603JR-07120RL</t>
  </si>
  <si>
    <t>R115</t>
  </si>
  <si>
    <t>1K</t>
  </si>
  <si>
    <t>RC0603JR-071KL</t>
  </si>
  <si>
    <t>R111</t>
  </si>
  <si>
    <t>R113</t>
  </si>
  <si>
    <t>R117</t>
  </si>
  <si>
    <t>R112</t>
  </si>
  <si>
    <t>R114</t>
  </si>
  <si>
    <t>TP1</t>
  </si>
  <si>
    <t>testing needle</t>
  </si>
  <si>
    <t>KEYSTONE</t>
  </si>
  <si>
    <t>TP2</t>
  </si>
  <si>
    <t>TP3</t>
  </si>
  <si>
    <t>TP4</t>
  </si>
  <si>
    <t>12.000MHz</t>
  </si>
  <si>
    <t>Y3</t>
  </si>
  <si>
    <t>32.768KHz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</si>
  <si>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</si>
  <si>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</si>
  <si>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</si>
  <si>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</si>
  <si>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</si>
  <si>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</si>
  <si>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</si>
  <si>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</si>
  <si>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</si>
  <si>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</si>
  <si>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</si>
  <si>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</si>
  <si>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</si>
  <si>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</si>
  <si>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</si>
  <si>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</si>
  <si>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</si>
  <si>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</si>
  <si>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</si>
  <si>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</si>
  <si>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</si>
  <si>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</si>
  <si>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</si>
  <si>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</si>
  <si>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</si>
  <si>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</si>
  <si>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</si>
  <si>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</si>
  <si>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First official release - rev.B schematics</t>
  </si>
  <si>
    <t>470pF</t>
  </si>
  <si>
    <t>Z7</t>
  </si>
  <si>
    <t>BP4</t>
  </si>
  <si>
    <t>BP5</t>
  </si>
  <si>
    <t>BT1</t>
  </si>
  <si>
    <t>BATTERY HOLDER</t>
  </si>
  <si>
    <t>SM Lithium Coin Cell Battery Retainers</t>
  </si>
  <si>
    <t>BN03K314S600R</t>
  </si>
  <si>
    <t>B4</t>
  </si>
  <si>
    <t>B7</t>
  </si>
  <si>
    <t>B8</t>
  </si>
  <si>
    <t>2200ohm@100MHz</t>
  </si>
  <si>
    <t>BLM21BD222TN1</t>
  </si>
  <si>
    <t>C70</t>
  </si>
  <si>
    <t>C100</t>
  </si>
  <si>
    <t>C102</t>
  </si>
  <si>
    <t>C103</t>
  </si>
  <si>
    <t>C104</t>
  </si>
  <si>
    <t>C105</t>
  </si>
  <si>
    <t>C106</t>
  </si>
  <si>
    <t>C107</t>
  </si>
  <si>
    <t>C110</t>
  </si>
  <si>
    <t>C111</t>
  </si>
  <si>
    <t>C112</t>
  </si>
  <si>
    <t>C113</t>
  </si>
  <si>
    <t>C114</t>
  </si>
  <si>
    <t>C119</t>
  </si>
  <si>
    <t>C120</t>
  </si>
  <si>
    <t>C121</t>
  </si>
  <si>
    <t>C122</t>
  </si>
  <si>
    <t>C123</t>
  </si>
  <si>
    <t>C124</t>
  </si>
  <si>
    <t>C126</t>
  </si>
  <si>
    <t>C127</t>
  </si>
  <si>
    <t>C128</t>
  </si>
  <si>
    <t>C129</t>
  </si>
  <si>
    <t>C130</t>
  </si>
  <si>
    <t>C131</t>
  </si>
  <si>
    <t>C133</t>
  </si>
  <si>
    <t>C135</t>
  </si>
  <si>
    <t>C125</t>
  </si>
  <si>
    <t>15pF</t>
  </si>
  <si>
    <t>C1608X7R1H150KT</t>
  </si>
  <si>
    <t>C118</t>
  </si>
  <si>
    <t>33uF</t>
  </si>
  <si>
    <t>TPSB336K016R0500</t>
  </si>
  <si>
    <t>C101</t>
  </si>
  <si>
    <t>C108</t>
  </si>
  <si>
    <t>C109</t>
  </si>
  <si>
    <t>C115</t>
  </si>
  <si>
    <t>C132</t>
  </si>
  <si>
    <t>C134</t>
  </si>
  <si>
    <t>C98</t>
  </si>
  <si>
    <t>C1608X7R1H471KT</t>
  </si>
  <si>
    <t>47uF</t>
  </si>
  <si>
    <t>TPSB476K010R0500</t>
  </si>
  <si>
    <t>C99</t>
  </si>
  <si>
    <t>220pF</t>
  </si>
  <si>
    <t>C1608X7R1H221KT</t>
  </si>
  <si>
    <t>C116</t>
  </si>
  <si>
    <t>C117</t>
  </si>
  <si>
    <t>BAT54C</t>
  </si>
  <si>
    <t>SCHOKKTY DIODE</t>
  </si>
  <si>
    <t>D8</t>
  </si>
  <si>
    <t>D9</t>
  </si>
  <si>
    <t>D10</t>
  </si>
  <si>
    <t>D5</t>
  </si>
  <si>
    <t>D6</t>
  </si>
  <si>
    <t>LM4040AIM3X-3.0</t>
  </si>
  <si>
    <t>D7</t>
  </si>
  <si>
    <t>313-212-M131-9.49</t>
  </si>
  <si>
    <t>2.54mm Pin Header,Straight S.M.T Type</t>
  </si>
  <si>
    <t>leyconn</t>
  </si>
  <si>
    <t>313-102-S111-11.6</t>
  </si>
  <si>
    <t>2.54mm Pin Header</t>
  </si>
  <si>
    <t>313-103-S111-11.6</t>
  </si>
  <si>
    <t>DC101</t>
  </si>
  <si>
    <t>301-020-S11-10</t>
  </si>
  <si>
    <t>BOX HEADER Connector</t>
  </si>
  <si>
    <t>1981584-1</t>
  </si>
  <si>
    <t>Tyco</t>
  </si>
  <si>
    <t>LF-307</t>
  </si>
  <si>
    <t>7SDMM-B0-2211-A</t>
  </si>
  <si>
    <t>SD/MMC CARD CONNECTOR</t>
  </si>
  <si>
    <t>KINGCONN</t>
  </si>
  <si>
    <t>13F-64NDXNL</t>
  </si>
  <si>
    <t>10/100 Base-TX RJ45 1x1 Tab-DOWN 8-pin Integrated Magnetics Connector.</t>
  </si>
  <si>
    <t>YUAN DEAN</t>
  </si>
  <si>
    <t>313-210-S111-11.6</t>
  </si>
  <si>
    <t>502-09-M32-121</t>
  </si>
  <si>
    <t>313-240-M131-9.49</t>
  </si>
  <si>
    <t>J18</t>
  </si>
  <si>
    <t>J19</t>
  </si>
  <si>
    <t>J17</t>
  </si>
  <si>
    <t>RJ12 CONNETOR</t>
  </si>
  <si>
    <t>J20</t>
  </si>
  <si>
    <t>10uH/150mA</t>
  </si>
  <si>
    <t>NLFV25T-100K</t>
  </si>
  <si>
    <t>L3</t>
  </si>
  <si>
    <t>L4</t>
  </si>
  <si>
    <t>L5</t>
  </si>
  <si>
    <t>+3.0V to +5.5V USB Power Control Switch</t>
  </si>
  <si>
    <t>Sipex</t>
  </si>
  <si>
    <t>AT91SAM3Xxxx</t>
  </si>
  <si>
    <t>AtmelSmart ARM Microcontroller</t>
  </si>
  <si>
    <t>SDRAM 4M x 16 x 4</t>
  </si>
  <si>
    <t>AAT3194ITP-20-T1</t>
  </si>
  <si>
    <t>XWM8731EDS</t>
  </si>
  <si>
    <t>Audio CODEC with Headphine Driver</t>
  </si>
  <si>
    <t>WOLFSON</t>
  </si>
  <si>
    <t>TWO WIRES SERIAL EEPROM</t>
  </si>
  <si>
    <t>DM9161AEP</t>
  </si>
  <si>
    <t>10/100 Fast Ethernet Tranceiver MII/RMII Auto MDIX</t>
  </si>
  <si>
    <t>DAVICOM</t>
  </si>
  <si>
    <t>MN15</t>
  </si>
  <si>
    <t>MN16</t>
  </si>
  <si>
    <t>MN17</t>
  </si>
  <si>
    <t>SN65HVD234</t>
  </si>
  <si>
    <t>3.3V CAN TRANCEIVER</t>
  </si>
  <si>
    <t>SN65HVD234D</t>
  </si>
  <si>
    <t>MN18</t>
  </si>
  <si>
    <t>IRLML6401</t>
  </si>
  <si>
    <t>P-Channel MOSFET</t>
  </si>
  <si>
    <t>Q2</t>
  </si>
  <si>
    <t>Q3</t>
  </si>
  <si>
    <t>RR1</t>
  </si>
  <si>
    <t>YC124JR-0747K</t>
  </si>
  <si>
    <t>RR2</t>
  </si>
  <si>
    <t>RR7</t>
  </si>
  <si>
    <t>RR3</t>
  </si>
  <si>
    <t>10Kx4</t>
  </si>
  <si>
    <t>YC124JR-0710K</t>
  </si>
  <si>
    <t>RR4</t>
  </si>
  <si>
    <t>RR5</t>
  </si>
  <si>
    <t>RR6</t>
  </si>
  <si>
    <t>169K</t>
  </si>
  <si>
    <t>102K</t>
  </si>
  <si>
    <t>R125</t>
  </si>
  <si>
    <t>R131</t>
  </si>
  <si>
    <t>R132</t>
  </si>
  <si>
    <t>R138</t>
  </si>
  <si>
    <t>R122</t>
  </si>
  <si>
    <t>R123</t>
  </si>
  <si>
    <t>R124</t>
  </si>
  <si>
    <t>R126</t>
  </si>
  <si>
    <t>R127</t>
  </si>
  <si>
    <t>R129</t>
  </si>
  <si>
    <t>R130</t>
  </si>
  <si>
    <t>R133</t>
  </si>
  <si>
    <t>R134</t>
  </si>
  <si>
    <t>R136</t>
  </si>
  <si>
    <t>R137</t>
  </si>
  <si>
    <t>39R</t>
  </si>
  <si>
    <t>RC0603JR-0739RL</t>
  </si>
  <si>
    <t>6.8K</t>
  </si>
  <si>
    <t>RC0603FR-076K8L</t>
  </si>
  <si>
    <t>470K</t>
  </si>
  <si>
    <t>RC0603JR-07470KL</t>
  </si>
  <si>
    <t>R108</t>
  </si>
  <si>
    <t>R139</t>
  </si>
  <si>
    <t>R140</t>
  </si>
  <si>
    <t>R107</t>
  </si>
  <si>
    <t>680R</t>
  </si>
  <si>
    <t>RC0603JR-07680RL</t>
  </si>
  <si>
    <t>RC0603JR-07330RL</t>
  </si>
  <si>
    <t>1.5K</t>
  </si>
  <si>
    <t>RC0603JR-071K5L</t>
  </si>
  <si>
    <t>RC0603JR-076K8L</t>
  </si>
  <si>
    <t>R128</t>
  </si>
  <si>
    <t>R135</t>
  </si>
  <si>
    <t>SH1</t>
  </si>
  <si>
    <t>JUMPER 2.54</t>
  </si>
  <si>
    <t>2 POINTS JUMPER PITCH 2.54</t>
  </si>
  <si>
    <t>NA</t>
  </si>
  <si>
    <t>SH2</t>
  </si>
  <si>
    <t>SH3</t>
  </si>
  <si>
    <t>SH4</t>
  </si>
  <si>
    <t>SH5</t>
  </si>
  <si>
    <t>SH6</t>
  </si>
  <si>
    <t>SH8</t>
  </si>
  <si>
    <t>SH9</t>
  </si>
  <si>
    <t>SH10</t>
  </si>
  <si>
    <t>SH12</t>
  </si>
  <si>
    <t>SH13</t>
  </si>
  <si>
    <t>SH14</t>
  </si>
  <si>
    <t>SH15</t>
  </si>
  <si>
    <t>SH16</t>
  </si>
  <si>
    <t>SH17</t>
  </si>
  <si>
    <t>SH18</t>
  </si>
  <si>
    <t>SH19</t>
  </si>
  <si>
    <t>SH20</t>
  </si>
  <si>
    <t>SH21</t>
  </si>
  <si>
    <t>SH22</t>
  </si>
  <si>
    <t>SH23</t>
  </si>
  <si>
    <t>SH24</t>
  </si>
  <si>
    <t>SH25</t>
  </si>
  <si>
    <t>SH26</t>
  </si>
  <si>
    <t>SH27</t>
  </si>
  <si>
    <t>SH28</t>
  </si>
  <si>
    <t>SH29</t>
  </si>
  <si>
    <t>SUP1</t>
  </si>
  <si>
    <t>SG-BGA-6004-MF</t>
  </si>
  <si>
    <t>keystone</t>
  </si>
  <si>
    <t>testing PAD</t>
  </si>
  <si>
    <t>TP7</t>
  </si>
  <si>
    <t>VR1</t>
  </si>
  <si>
    <t>Potentiometer</t>
  </si>
  <si>
    <t>WH9011-1-F</t>
  </si>
  <si>
    <t>XINZE</t>
  </si>
  <si>
    <t>Quartz Crystal</t>
  </si>
  <si>
    <t>K12000L035</t>
  </si>
  <si>
    <t>ECEC</t>
  </si>
  <si>
    <t>TXC</t>
  </si>
  <si>
    <t>50MHz</t>
  </si>
  <si>
    <t>oscillator 3V3 50ppm</t>
  </si>
  <si>
    <t>FTM280C12D</t>
  </si>
  <si>
    <t>1.8 inch TFT LCD</t>
  </si>
  <si>
    <t>FAIR</t>
  </si>
  <si>
    <t>L=9 l=6.0 H=4.3</t>
  </si>
  <si>
    <t>0603</t>
  </si>
  <si>
    <t>0805</t>
  </si>
  <si>
    <t>B</t>
  </si>
  <si>
    <t>A</t>
  </si>
  <si>
    <t>C</t>
  </si>
  <si>
    <t>SOT23</t>
  </si>
  <si>
    <t>SOT23-5</t>
  </si>
  <si>
    <t>2.1mmD</t>
  </si>
  <si>
    <t>RJ45</t>
  </si>
  <si>
    <t>TO-263-5</t>
  </si>
  <si>
    <t>SO8</t>
  </si>
  <si>
    <t>LFBGA217</t>
  </si>
  <si>
    <t>TSOP54</t>
  </si>
  <si>
    <t>TSOP48</t>
  </si>
  <si>
    <t>SSOP-16</t>
  </si>
  <si>
    <t>TSOPJW-12</t>
  </si>
  <si>
    <t>SSOP-28</t>
  </si>
  <si>
    <t>LQFP48</t>
  </si>
  <si>
    <t>SO16</t>
  </si>
  <si>
    <t>SOIC8</t>
  </si>
  <si>
    <t>TSSOP24</t>
  </si>
  <si>
    <t>YC124</t>
  </si>
  <si>
    <t>5*3.2mm</t>
  </si>
  <si>
    <t>9H-T7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</si>
  <si>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</si>
  <si>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</si>
  <si>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</si>
  <si>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</si>
  <si>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</si>
  <si>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</si>
  <si>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</si>
  <si>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</si>
  <si>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</si>
  <si>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</si>
  <si>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</si>
  <si>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</si>
  <si>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</si>
  <si>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</si>
  <si>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</si>
  <si>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</si>
  <si>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</si>
  <si>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</si>
  <si>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</si>
  <si>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</si>
  <si>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</si>
  <si>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</si>
  <si>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</si>
  <si>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</si>
  <si>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</si>
  <si>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</si>
  <si>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</si>
  <si>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</si>
  <si>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</si>
  <si>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</si>
  <si>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</si>
  <si>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</si>
  <si>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</si>
  <si>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</si>
  <si>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</si>
  <si>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</si>
  <si>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</si>
  <si>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</si>
  <si>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</si>
  <si>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</si>
  <si>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</si>
  <si>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</si>
  <si>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</si>
  <si>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</si>
  <si>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</si>
  <si>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</si>
  <si>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</si>
  <si>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</si>
  <si>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</si>
  <si>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</si>
  <si>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</si>
  <si>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</si>
  <si>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</si>
  <si>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</si>
  <si>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</si>
  <si>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</si>
  <si>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</si>
  <si>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</si>
  <si>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</si>
  <si>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</si>
  <si>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</si>
  <si>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</si>
  <si>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</si>
  <si>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</si>
  <si>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</si>
  <si>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</si>
  <si>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</si>
  <si>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</si>
  <si>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</si>
  <si>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</si>
  <si>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</si>
  <si>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</si>
  <si>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</si>
  <si>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</si>
  <si>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</si>
  <si>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</si>
  <si>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</si>
  <si>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X</t>
  </si>
  <si>
    <t>SAM3X-EK PCB, Rev. B</t>
  </si>
  <si>
    <t>SAM3X-EK Gerber, Rev.B</t>
  </si>
  <si>
    <t>PCB manufacturing files</t>
  </si>
  <si>
    <t>Default jumpers settings spec</t>
  </si>
  <si>
    <t>A09-1184-1</t>
  </si>
  <si>
    <t>A09-1184-2</t>
  </si>
  <si>
    <t>Embedded demo SW upgrade</t>
  </si>
  <si>
    <t>PPn</t>
  </si>
  <si>
    <t>A09-1184-3</t>
  </si>
  <si>
    <t>10pF</t>
  </si>
  <si>
    <t>C1608X5R1C105KT</t>
  </si>
  <si>
    <t>C92</t>
  </si>
  <si>
    <t>C1608X7R1H680KT</t>
  </si>
  <si>
    <t>0805QBC/E</t>
    <phoneticPr fontId="2" type="noConversion"/>
  </si>
  <si>
    <t>Chip Led Blue</t>
    <phoneticPr fontId="2" type="noConversion"/>
  </si>
  <si>
    <t>EVER BRIGHT</t>
    <phoneticPr fontId="2" type="noConversion"/>
  </si>
  <si>
    <t>0805QAC/E</t>
    <phoneticPr fontId="2" type="noConversion"/>
  </si>
  <si>
    <t>Chip Led Amber</t>
    <phoneticPr fontId="2" type="noConversion"/>
  </si>
  <si>
    <t>EVER BRIGHT</t>
  </si>
  <si>
    <t>0805QAC/E</t>
  </si>
  <si>
    <t>0805QGC/E</t>
    <phoneticPr fontId="2" type="noConversion"/>
  </si>
  <si>
    <t>0805QGC/E</t>
  </si>
  <si>
    <t>0805QRC/E</t>
    <phoneticPr fontId="2" type="noConversion"/>
  </si>
  <si>
    <t>Chip Led Red</t>
    <phoneticPr fontId="2" type="noConversion"/>
  </si>
  <si>
    <t>Micro USB AB Connector</t>
  </si>
  <si>
    <t>3.5 PHONE STEREO CONNECTOR</t>
  </si>
  <si>
    <t>2.54mm Pin Header,Dual Row,S.M.T</t>
  </si>
  <si>
    <t xml:space="preserve">SP2525A-2EN </t>
    <phoneticPr fontId="2" type="noConversion"/>
  </si>
  <si>
    <t>MT48LC16M16A2P-75</t>
    <phoneticPr fontId="2" type="noConversion"/>
  </si>
  <si>
    <t>MT29F2G08ABAEAWP</t>
    <phoneticPr fontId="2" type="noConversion"/>
  </si>
  <si>
    <t>AT24C512C-SSHD-T</t>
    <phoneticPr fontId="2" type="noConversion"/>
  </si>
  <si>
    <t>MN19</t>
  </si>
  <si>
    <t>CAT811STBI-GT3</t>
  </si>
  <si>
    <t>Microprocessor Power Supply Supervisors with Manual Reset</t>
  </si>
  <si>
    <t>ON</t>
  </si>
  <si>
    <t>R8</t>
  </si>
  <si>
    <t>DNP</t>
  </si>
  <si>
    <t>R116</t>
  </si>
  <si>
    <t>BGA Sockets-0.8mm</t>
  </si>
  <si>
    <t>Ironwood Electronics</t>
  </si>
  <si>
    <t>12MHz</t>
  </si>
  <si>
    <t>2.8 inch TFT LCD</t>
  </si>
  <si>
    <t>0603</t>
    <phoneticPr fontId="2" type="noConversion"/>
  </si>
  <si>
    <t>0805</t>
    <phoneticPr fontId="2" type="noConversion"/>
  </si>
  <si>
    <t>SOT-143</t>
  </si>
  <si>
    <t>minor PCBA BOM changes</t>
  </si>
  <si>
    <t>SAM3X-EK Schematics, Rev.C</t>
  </si>
  <si>
    <t>SAM3X-EK board test V20</t>
  </si>
  <si>
    <t>SAM3X-EK DefaultJumpersSettings_A09-1184-3.PDF</t>
  </si>
</sst>
</file>

<file path=xl/styles.xml><?xml version="1.0" encoding="utf-8"?>
<styleSheet xmlns="http://schemas.openxmlformats.org/spreadsheetml/2006/main">
  <numFmts count="1">
    <numFmt numFmtId="164" formatCode="d/mmm/yy"/>
  </numFmts>
  <fonts count="6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Helv"/>
      <family val="2"/>
    </font>
    <font>
      <b/>
      <sz val="10"/>
      <color indexed="20"/>
      <name val="Arial"/>
      <family val="2"/>
    </font>
    <font>
      <sz val="10"/>
      <color indexed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88">
    <xf numFmtId="0" fontId="0" fillId="0" borderId="0" xfId="0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1" fillId="0" borderId="0" xfId="0" quotePrefix="1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2" borderId="3" xfId="0" applyFill="1" applyBorder="1" applyAlignment="1">
      <alignment vertical="center" wrapText="1"/>
    </xf>
    <xf numFmtId="0" fontId="1" fillId="2" borderId="4" xfId="0" applyFont="1" applyFill="1" applyBorder="1" applyAlignment="1">
      <alignment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quotePrefix="1" applyFont="1" applyBorder="1" applyAlignment="1">
      <alignment horizontal="center" vertical="center" wrapText="1"/>
    </xf>
    <xf numFmtId="164" fontId="2" fillId="0" borderId="5" xfId="0" applyNumberFormat="1" applyFont="1" applyBorder="1" applyAlignment="1">
      <alignment horizontal="center" vertical="center" wrapText="1"/>
    </xf>
    <xf numFmtId="164" fontId="2" fillId="0" borderId="6" xfId="0" applyNumberFormat="1" applyFont="1" applyBorder="1" applyAlignment="1">
      <alignment horizontal="center" vertical="center" wrapText="1"/>
    </xf>
    <xf numFmtId="0" fontId="1" fillId="2" borderId="7" xfId="0" applyFont="1" applyFill="1" applyBorder="1" applyAlignment="1">
      <alignment vertical="center" wrapText="1"/>
    </xf>
    <xf numFmtId="0" fontId="0" fillId="2" borderId="8" xfId="0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49" fontId="1" fillId="0" borderId="0" xfId="0" applyNumberFormat="1" applyFont="1" applyFill="1" applyBorder="1" applyAlignment="1">
      <alignment vertical="center" wrapText="1"/>
    </xf>
    <xf numFmtId="0" fontId="1" fillId="3" borderId="4" xfId="0" applyFont="1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  <xf numFmtId="0" fontId="2" fillId="0" borderId="5" xfId="0" applyFont="1" applyBorder="1" applyAlignment="1">
      <alignment horizontal="left" vertical="center" wrapText="1"/>
    </xf>
    <xf numFmtId="49" fontId="1" fillId="0" borderId="0" xfId="0" applyNumberFormat="1" applyFont="1" applyFill="1" applyBorder="1" applyAlignment="1">
      <alignment horizontal="left" vertical="center" wrapText="1"/>
    </xf>
    <xf numFmtId="0" fontId="1" fillId="0" borderId="0" xfId="0" applyNumberFormat="1" applyFont="1" applyFill="1" applyBorder="1" applyAlignment="1">
      <alignment vertical="center" wrapText="1"/>
    </xf>
    <xf numFmtId="49" fontId="1" fillId="3" borderId="9" xfId="0" applyNumberFormat="1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left" vertical="top" wrapText="1"/>
    </xf>
    <xf numFmtId="0" fontId="1" fillId="3" borderId="10" xfId="0" applyFont="1" applyFill="1" applyBorder="1" applyAlignment="1">
      <alignment horizontal="center" vertical="top" wrapText="1"/>
    </xf>
    <xf numFmtId="164" fontId="1" fillId="3" borderId="10" xfId="0" applyNumberFormat="1" applyFont="1" applyFill="1" applyBorder="1" applyAlignment="1">
      <alignment horizontal="center" vertical="top" wrapText="1"/>
    </xf>
    <xf numFmtId="164" fontId="1" fillId="3" borderId="8" xfId="0" applyNumberFormat="1" applyFont="1" applyFill="1" applyBorder="1" applyAlignment="1">
      <alignment horizontal="center" vertical="top" wrapText="1"/>
    </xf>
    <xf numFmtId="49" fontId="0" fillId="2" borderId="11" xfId="0" applyNumberForma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center" vertical="center" wrapText="1"/>
    </xf>
    <xf numFmtId="164" fontId="0" fillId="2" borderId="13" xfId="0" applyNumberFormat="1" applyFill="1" applyBorder="1" applyAlignment="1">
      <alignment horizontal="center" vertical="center" wrapText="1"/>
    </xf>
    <xf numFmtId="49" fontId="1" fillId="3" borderId="11" xfId="0" applyNumberFormat="1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left" vertical="center" wrapText="1"/>
    </xf>
    <xf numFmtId="0" fontId="1" fillId="3" borderId="12" xfId="0" applyFont="1" applyFill="1" applyBorder="1" applyAlignment="1">
      <alignment horizontal="center" vertical="center" wrapText="1"/>
    </xf>
    <xf numFmtId="164" fontId="1" fillId="3" borderId="12" xfId="0" applyNumberFormat="1" applyFont="1" applyFill="1" applyBorder="1" applyAlignment="1">
      <alignment horizontal="center" vertical="center" wrapText="1"/>
    </xf>
    <xf numFmtId="164" fontId="1" fillId="3" borderId="13" xfId="0" applyNumberFormat="1" applyFont="1" applyFill="1" applyBorder="1" applyAlignment="1">
      <alignment horizontal="center" vertical="center" wrapText="1"/>
    </xf>
    <xf numFmtId="49" fontId="1" fillId="2" borderId="14" xfId="0" applyNumberFormat="1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center" vertical="center" wrapText="1"/>
    </xf>
    <xf numFmtId="164" fontId="1" fillId="2" borderId="15" xfId="0" applyNumberFormat="1" applyFont="1" applyFill="1" applyBorder="1" applyAlignment="1">
      <alignment horizontal="center" vertical="center" wrapText="1"/>
    </xf>
    <xf numFmtId="164" fontId="1" fillId="2" borderId="16" xfId="0" applyNumberFormat="1" applyFont="1" applyFill="1" applyBorder="1" applyAlignment="1">
      <alignment horizontal="center" vertical="center" wrapText="1"/>
    </xf>
    <xf numFmtId="49" fontId="1" fillId="2" borderId="9" xfId="0" applyNumberFormat="1" applyFont="1" applyFill="1" applyBorder="1" applyAlignment="1">
      <alignment horizontal="center" vertical="center" wrapText="1"/>
    </xf>
    <xf numFmtId="49" fontId="1" fillId="2" borderId="11" xfId="0" applyNumberFormat="1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left" vertical="center" wrapText="1"/>
    </xf>
    <xf numFmtId="0" fontId="2" fillId="0" borderId="17" xfId="0" applyFont="1" applyFill="1" applyBorder="1" applyAlignment="1">
      <alignment horizontal="left" vertical="center" wrapText="1"/>
    </xf>
    <xf numFmtId="0" fontId="1" fillId="0" borderId="0" xfId="0" applyFont="1" applyAlignment="1">
      <alignment vertical="center"/>
    </xf>
    <xf numFmtId="0" fontId="1" fillId="2" borderId="10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horizontal="left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left"/>
    </xf>
    <xf numFmtId="0" fontId="2" fillId="2" borderId="12" xfId="0" applyFont="1" applyFill="1" applyBorder="1"/>
    <xf numFmtId="0" fontId="2" fillId="2" borderId="12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 vertical="center" wrapText="1"/>
    </xf>
    <xf numFmtId="49" fontId="4" fillId="2" borderId="12" xfId="0" applyNumberFormat="1" applyFont="1" applyFill="1" applyBorder="1" applyAlignment="1">
      <alignment vertical="center"/>
    </xf>
    <xf numFmtId="0" fontId="4" fillId="2" borderId="12" xfId="0" applyNumberFormat="1" applyFont="1" applyFill="1" applyBorder="1" applyAlignment="1">
      <alignment vertical="center"/>
    </xf>
    <xf numFmtId="0" fontId="5" fillId="2" borderId="12" xfId="2" applyNumberFormat="1" applyFont="1" applyFill="1" applyBorder="1" applyAlignment="1">
      <alignment horizontal="center" vertical="center" wrapText="1"/>
    </xf>
    <xf numFmtId="49" fontId="5" fillId="2" borderId="12" xfId="2" applyNumberFormat="1" applyFont="1" applyFill="1" applyBorder="1" applyAlignment="1">
      <alignment vertical="center" wrapText="1"/>
    </xf>
    <xf numFmtId="0" fontId="5" fillId="2" borderId="12" xfId="2" applyNumberFormat="1" applyFont="1" applyFill="1" applyBorder="1" applyAlignment="1">
      <alignment vertical="center" wrapText="1"/>
    </xf>
    <xf numFmtId="0" fontId="0" fillId="2" borderId="12" xfId="0" applyFill="1" applyBorder="1"/>
    <xf numFmtId="49" fontId="0" fillId="2" borderId="12" xfId="0" applyNumberFormat="1" applyFill="1" applyBorder="1"/>
    <xf numFmtId="0" fontId="1" fillId="2" borderId="18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49" fontId="1" fillId="3" borderId="14" xfId="0" applyNumberFormat="1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left" vertical="center" wrapText="1"/>
    </xf>
    <xf numFmtId="0" fontId="1" fillId="3" borderId="19" xfId="0" applyFont="1" applyFill="1" applyBorder="1" applyAlignment="1">
      <alignment vertical="center" wrapText="1"/>
    </xf>
    <xf numFmtId="0" fontId="0" fillId="3" borderId="16" xfId="0" applyFill="1" applyBorder="1" applyAlignment="1">
      <alignment vertical="center" wrapText="1"/>
    </xf>
    <xf numFmtId="164" fontId="1" fillId="0" borderId="10" xfId="0" applyNumberFormat="1" applyFont="1" applyFill="1" applyBorder="1" applyAlignment="1">
      <alignment horizontal="center" vertical="top" wrapText="1"/>
    </xf>
    <xf numFmtId="0" fontId="0" fillId="0" borderId="12" xfId="0" applyBorder="1" applyAlignment="1">
      <alignment vertical="center"/>
    </xf>
    <xf numFmtId="0" fontId="0" fillId="0" borderId="12" xfId="0" applyBorder="1" applyAlignment="1">
      <alignment horizontal="left" vertical="center"/>
    </xf>
    <xf numFmtId="49" fontId="0" fillId="0" borderId="12" xfId="0" applyNumberFormat="1" applyBorder="1" applyAlignment="1">
      <alignment vertical="center"/>
    </xf>
    <xf numFmtId="49" fontId="0" fillId="2" borderId="12" xfId="0" applyNumberFormat="1" applyFill="1" applyBorder="1" applyAlignment="1">
      <alignment vertical="center"/>
    </xf>
  </cellXfs>
  <cellStyles count="3">
    <cellStyle name="Normal" xfId="0" builtinId="0"/>
    <cellStyle name="Normal_BOM" xfId="2"/>
    <cellStyle name="Style 1" xfId="1"/>
  </cellStyles>
  <dxfs count="3">
    <dxf>
      <fill>
        <patternFill>
          <bgColor indexed="42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 patternType="lightUp"/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G12"/>
  <sheetViews>
    <sheetView tabSelected="1" zoomScale="85" zoomScaleNormal="100" workbookViewId="0">
      <pane ySplit="1" topLeftCell="A2" activePane="bottomLeft" state="frozen"/>
      <selection pane="bottomLeft" activeCell="B19" sqref="B19"/>
    </sheetView>
  </sheetViews>
  <sheetFormatPr defaultRowHeight="12.75"/>
  <cols>
    <col min="1" max="1" width="13" style="14" customWidth="1"/>
    <col min="2" max="2" width="70.5703125" style="1" bestFit="1" customWidth="1"/>
    <col min="3" max="3" width="2.28515625" style="1" customWidth="1"/>
    <col min="4" max="4" width="11.28515625" style="2" bestFit="1" customWidth="1"/>
    <col min="5" max="5" width="11.28515625" style="17" bestFit="1" customWidth="1"/>
    <col min="6" max="6" width="11.28515625" style="2" bestFit="1" customWidth="1"/>
    <col min="7" max="7" width="10.5703125" style="17" bestFit="1" customWidth="1"/>
    <col min="8" max="16384" width="9.140625" style="1"/>
  </cols>
  <sheetData>
    <row r="1" spans="1:7" s="20" customFormat="1" ht="13.5" thickBot="1">
      <c r="A1" s="23" t="s">
        <v>0</v>
      </c>
      <c r="B1" s="35" t="s">
        <v>10</v>
      </c>
      <c r="C1" s="25" t="s">
        <v>9</v>
      </c>
      <c r="D1" s="24" t="s">
        <v>1</v>
      </c>
      <c r="E1" s="26" t="s">
        <v>2</v>
      </c>
      <c r="F1" s="24" t="s">
        <v>3</v>
      </c>
      <c r="G1" s="27" t="s">
        <v>2</v>
      </c>
    </row>
    <row r="2" spans="1:7" ht="13.5" thickBot="1">
      <c r="A2" s="38" t="s">
        <v>1065</v>
      </c>
      <c r="B2" s="39" t="s">
        <v>739</v>
      </c>
      <c r="C2" s="40"/>
      <c r="D2" s="40" t="s">
        <v>12</v>
      </c>
      <c r="E2" s="41">
        <v>40956</v>
      </c>
      <c r="F2" s="40"/>
      <c r="G2" s="42"/>
    </row>
    <row r="3" spans="1:7">
      <c r="A3" s="43" t="s">
        <v>1066</v>
      </c>
      <c r="B3" s="44" t="s">
        <v>1067</v>
      </c>
      <c r="C3" s="44"/>
      <c r="D3" s="45" t="s">
        <v>1068</v>
      </c>
      <c r="E3" s="83">
        <v>40959</v>
      </c>
      <c r="F3" s="45"/>
      <c r="G3" s="46"/>
    </row>
    <row r="4" spans="1:7">
      <c r="A4" s="47" t="s">
        <v>1069</v>
      </c>
      <c r="B4" s="48" t="s">
        <v>1106</v>
      </c>
      <c r="C4" s="49"/>
      <c r="D4" s="49" t="s">
        <v>1068</v>
      </c>
      <c r="E4" s="50">
        <v>41143</v>
      </c>
      <c r="F4" s="49"/>
      <c r="G4" s="51"/>
    </row>
    <row r="5" spans="1:7" ht="13.5" thickBot="1">
      <c r="A5" s="52"/>
      <c r="B5" s="53"/>
      <c r="C5" s="54"/>
      <c r="D5" s="54"/>
      <c r="E5" s="55"/>
      <c r="F5" s="54"/>
      <c r="G5" s="56"/>
    </row>
    <row r="8" spans="1:7">
      <c r="A8" s="15"/>
      <c r="B8" s="11"/>
      <c r="C8" s="11"/>
      <c r="D8" s="10"/>
      <c r="E8" s="18"/>
      <c r="F8" s="10"/>
      <c r="G8" s="18"/>
    </row>
    <row r="9" spans="1:7">
      <c r="A9" s="15"/>
      <c r="B9" s="11"/>
      <c r="C9" s="11"/>
      <c r="D9" s="10"/>
      <c r="E9" s="18"/>
      <c r="F9" s="10"/>
      <c r="G9" s="18"/>
    </row>
    <row r="10" spans="1:7">
      <c r="A10" s="16"/>
      <c r="B10" s="12"/>
      <c r="C10" s="12"/>
      <c r="D10" s="9"/>
      <c r="E10" s="19"/>
      <c r="F10" s="9"/>
      <c r="G10" s="19"/>
    </row>
    <row r="11" spans="1:7">
      <c r="A11" s="16"/>
      <c r="B11" s="13"/>
      <c r="C11" s="13"/>
      <c r="D11" s="9"/>
      <c r="E11" s="19"/>
      <c r="F11" s="9"/>
      <c r="G11" s="19"/>
    </row>
    <row r="12" spans="1:7">
      <c r="A12" s="16"/>
      <c r="B12" s="13"/>
      <c r="C12" s="13"/>
      <c r="D12" s="9"/>
      <c r="E12" s="19"/>
      <c r="F12" s="9"/>
      <c r="G12" s="19"/>
    </row>
  </sheetData>
  <phoneticPr fontId="0" type="noConversion"/>
  <pageMargins left="0.75" right="0.75" top="1.5" bottom="1" header="0.5" footer="0.5"/>
  <pageSetup paperSize="9" scale="72" fitToHeight="0" orientation="portrait" r:id="rId1"/>
  <headerFooter alignWithMargins="0">
    <oddHeader>&amp;LProduct:&amp;B AT91SAM7L-STK&amp;B
BOM type:&amp;B BOARD&amp;B
BOM revision:&amp;B 001&amp;B
BOM release date:&amp;B 19-mars-2008&amp;B
-----------------------------------------</oddHeader>
    <oddFooter>&amp;LAT91SAM7L-STK_BOARDBOM_001.xls / &amp;B&amp;A&amp;B / &amp;D - &amp;T &amp;RPage 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K405"/>
  <sheetViews>
    <sheetView topLeftCell="D1" zoomScale="70" zoomScaleNormal="100" workbookViewId="0">
      <pane ySplit="1" topLeftCell="A160" activePane="bottomLeft" state="frozen"/>
      <selection activeCell="B9" sqref="B9"/>
      <selection pane="bottomLeft" activeCell="K2" sqref="K2:K399"/>
    </sheetView>
  </sheetViews>
  <sheetFormatPr defaultRowHeight="12.75"/>
  <cols>
    <col min="1" max="1" width="5" style="32" hidden="1" customWidth="1"/>
    <col min="2" max="2" width="4.28515625" style="32" hidden="1" customWidth="1"/>
    <col min="3" max="3" width="8.85546875" style="37" hidden="1" customWidth="1"/>
    <col min="4" max="4" width="5.28515625" style="36" bestFit="1" customWidth="1"/>
    <col min="5" max="5" width="10" style="32" bestFit="1" customWidth="1"/>
    <col min="6" max="6" width="30" style="32" customWidth="1"/>
    <col min="7" max="7" width="57.7109375" style="32" bestFit="1" customWidth="1"/>
    <col min="8" max="8" width="30.85546875" style="32" bestFit="1" customWidth="1"/>
    <col min="9" max="9" width="21.140625" style="32" bestFit="1" customWidth="1"/>
    <col min="10" max="10" width="19.140625" style="64" bestFit="1" customWidth="1"/>
    <col min="11" max="11" width="15.85546875" style="32" bestFit="1" customWidth="1"/>
    <col min="12" max="16384" width="9.140625" style="31"/>
  </cols>
  <sheetData>
    <row r="1" spans="1:11" s="30" customFormat="1">
      <c r="A1" s="70" t="s">
        <v>11</v>
      </c>
      <c r="B1" s="70"/>
      <c r="C1" s="71"/>
      <c r="D1" s="65" t="s">
        <v>4</v>
      </c>
      <c r="E1" s="66" t="s">
        <v>5</v>
      </c>
      <c r="F1" s="66" t="s">
        <v>15</v>
      </c>
      <c r="G1" s="66" t="s">
        <v>6</v>
      </c>
      <c r="H1" s="66" t="s">
        <v>7</v>
      </c>
      <c r="I1" s="66" t="s">
        <v>8</v>
      </c>
      <c r="J1" s="67" t="s">
        <v>16</v>
      </c>
      <c r="K1" s="66" t="s">
        <v>14</v>
      </c>
    </row>
    <row r="2" spans="1:11">
      <c r="A2" s="72" t="s">
        <v>13</v>
      </c>
      <c r="B2" s="73" t="str">
        <f>IF(AND(MID(E2,2,1)&gt;="A",MID(E2,2,1)&lt;="Z"),LEFT(E2,2),LEFT(E2,1))</f>
        <v>BP</v>
      </c>
      <c r="C2" s="74" t="b">
        <f>IF(D2&lt;&gt;"",NOT(C1),C1)</f>
        <v>1</v>
      </c>
      <c r="D2" s="84">
        <v>5</v>
      </c>
      <c r="E2" s="84" t="s">
        <v>20</v>
      </c>
      <c r="F2" s="85" t="s">
        <v>646</v>
      </c>
      <c r="G2" s="84" t="s">
        <v>647</v>
      </c>
      <c r="H2" s="85" t="s">
        <v>646</v>
      </c>
      <c r="I2" s="85" t="s">
        <v>21</v>
      </c>
      <c r="J2" s="68"/>
      <c r="K2" s="86" t="s">
        <v>958</v>
      </c>
    </row>
    <row r="3" spans="1:11">
      <c r="A3" s="72" t="s">
        <v>24</v>
      </c>
      <c r="B3" s="73" t="str">
        <f t="shared" ref="B3:B66" si="0">IF(AND(MID(E3,2,1)&gt;="A",MID(E3,2,1)&lt;="Z"),LEFT(E3,2),LEFT(E3,1))</f>
        <v>BP</v>
      </c>
      <c r="C3" s="74" t="b">
        <f t="shared" ref="C3:C66" si="1">IF(D3&lt;&gt;"",NOT(C2),C2)</f>
        <v>1</v>
      </c>
      <c r="D3" s="84"/>
      <c r="E3" s="84" t="s">
        <v>22</v>
      </c>
      <c r="F3" s="85" t="s">
        <v>646</v>
      </c>
      <c r="G3" s="84" t="s">
        <v>647</v>
      </c>
      <c r="H3" s="85" t="s">
        <v>646</v>
      </c>
      <c r="I3" s="85" t="s">
        <v>21</v>
      </c>
      <c r="J3" s="69"/>
      <c r="K3" s="86" t="s">
        <v>958</v>
      </c>
    </row>
    <row r="4" spans="1:11">
      <c r="A4" s="72" t="s">
        <v>132</v>
      </c>
      <c r="B4" s="73" t="str">
        <f t="shared" si="0"/>
        <v>BP</v>
      </c>
      <c r="C4" s="74" t="b">
        <f t="shared" si="1"/>
        <v>1</v>
      </c>
      <c r="D4" s="84"/>
      <c r="E4" s="84" t="s">
        <v>23</v>
      </c>
      <c r="F4" s="85" t="s">
        <v>646</v>
      </c>
      <c r="G4" s="84" t="s">
        <v>647</v>
      </c>
      <c r="H4" s="85" t="s">
        <v>646</v>
      </c>
      <c r="I4" s="85" t="s">
        <v>21</v>
      </c>
      <c r="J4" s="69"/>
      <c r="K4" s="86" t="s">
        <v>958</v>
      </c>
    </row>
    <row r="5" spans="1:11">
      <c r="A5" s="72" t="s">
        <v>66</v>
      </c>
      <c r="B5" s="73" t="str">
        <f t="shared" si="0"/>
        <v>BP</v>
      </c>
      <c r="C5" s="74" t="b">
        <f t="shared" si="1"/>
        <v>1</v>
      </c>
      <c r="D5" s="84"/>
      <c r="E5" s="84" t="s">
        <v>742</v>
      </c>
      <c r="F5" s="85" t="s">
        <v>646</v>
      </c>
      <c r="G5" s="84" t="s">
        <v>647</v>
      </c>
      <c r="H5" s="85" t="s">
        <v>646</v>
      </c>
      <c r="I5" s="85" t="s">
        <v>21</v>
      </c>
      <c r="J5" s="69"/>
      <c r="K5" s="86" t="s">
        <v>958</v>
      </c>
    </row>
    <row r="6" spans="1:11">
      <c r="A6" s="72" t="s">
        <v>142</v>
      </c>
      <c r="B6" s="73" t="str">
        <f t="shared" si="0"/>
        <v>BP</v>
      </c>
      <c r="C6" s="74" t="b">
        <f t="shared" si="1"/>
        <v>1</v>
      </c>
      <c r="D6" s="84"/>
      <c r="E6" s="84" t="s">
        <v>743</v>
      </c>
      <c r="F6" s="85" t="s">
        <v>646</v>
      </c>
      <c r="G6" s="84" t="s">
        <v>647</v>
      </c>
      <c r="H6" s="85" t="s">
        <v>646</v>
      </c>
      <c r="I6" s="85" t="s">
        <v>21</v>
      </c>
      <c r="J6" s="69"/>
      <c r="K6" s="86" t="s">
        <v>958</v>
      </c>
    </row>
    <row r="7" spans="1:11">
      <c r="A7" s="72" t="s">
        <v>48</v>
      </c>
      <c r="B7" s="73" t="str">
        <f t="shared" si="0"/>
        <v>BT</v>
      </c>
      <c r="C7" s="74" t="b">
        <f t="shared" si="1"/>
        <v>0</v>
      </c>
      <c r="D7" s="84">
        <v>1</v>
      </c>
      <c r="E7" s="84" t="s">
        <v>744</v>
      </c>
      <c r="F7" s="85" t="s">
        <v>745</v>
      </c>
      <c r="G7" s="84" t="s">
        <v>746</v>
      </c>
      <c r="H7" s="85">
        <v>3000</v>
      </c>
      <c r="I7" s="85" t="s">
        <v>704</v>
      </c>
      <c r="J7" s="69"/>
      <c r="K7" s="86"/>
    </row>
    <row r="8" spans="1:11">
      <c r="A8" s="72" t="s">
        <v>58</v>
      </c>
      <c r="B8" s="73" t="str">
        <f t="shared" si="0"/>
        <v>B</v>
      </c>
      <c r="C8" s="74" t="b">
        <f t="shared" si="1"/>
        <v>1</v>
      </c>
      <c r="D8" s="84">
        <v>2</v>
      </c>
      <c r="E8" s="84" t="s">
        <v>181</v>
      </c>
      <c r="F8" s="85" t="s">
        <v>186</v>
      </c>
      <c r="G8" s="84" t="s">
        <v>182</v>
      </c>
      <c r="H8" s="85" t="s">
        <v>186</v>
      </c>
      <c r="I8" s="85" t="s">
        <v>183</v>
      </c>
      <c r="J8" s="69"/>
      <c r="K8" s="86" t="s">
        <v>1103</v>
      </c>
    </row>
    <row r="9" spans="1:11">
      <c r="A9" s="72" t="s">
        <v>358</v>
      </c>
      <c r="B9" s="73" t="str">
        <f t="shared" si="0"/>
        <v>B</v>
      </c>
      <c r="C9" s="74" t="b">
        <f t="shared" si="1"/>
        <v>1</v>
      </c>
      <c r="D9" s="84"/>
      <c r="E9" s="84" t="s">
        <v>184</v>
      </c>
      <c r="F9" s="85" t="s">
        <v>186</v>
      </c>
      <c r="G9" s="84" t="s">
        <v>182</v>
      </c>
      <c r="H9" s="85" t="s">
        <v>186</v>
      </c>
      <c r="I9" s="85" t="s">
        <v>183</v>
      </c>
      <c r="J9" s="69"/>
      <c r="K9" s="86" t="s">
        <v>1103</v>
      </c>
    </row>
    <row r="10" spans="1:11">
      <c r="A10" s="72" t="s">
        <v>359</v>
      </c>
      <c r="B10" s="73" t="str">
        <f t="shared" si="0"/>
        <v>B</v>
      </c>
      <c r="C10" s="74" t="b">
        <f t="shared" si="1"/>
        <v>0</v>
      </c>
      <c r="D10" s="84">
        <v>3</v>
      </c>
      <c r="E10" s="84" t="s">
        <v>185</v>
      </c>
      <c r="F10" s="85" t="s">
        <v>747</v>
      </c>
      <c r="G10" s="84" t="s">
        <v>182</v>
      </c>
      <c r="H10" s="85" t="s">
        <v>747</v>
      </c>
      <c r="I10" s="85" t="s">
        <v>183</v>
      </c>
      <c r="J10" s="69"/>
      <c r="K10" s="86" t="s">
        <v>959</v>
      </c>
    </row>
    <row r="11" spans="1:11">
      <c r="A11" s="72" t="s">
        <v>29</v>
      </c>
      <c r="B11" s="73" t="str">
        <f t="shared" si="0"/>
        <v>B</v>
      </c>
      <c r="C11" s="74" t="b">
        <f t="shared" si="1"/>
        <v>0</v>
      </c>
      <c r="D11" s="84"/>
      <c r="E11" s="84" t="s">
        <v>748</v>
      </c>
      <c r="F11" s="85" t="s">
        <v>747</v>
      </c>
      <c r="G11" s="84" t="s">
        <v>182</v>
      </c>
      <c r="H11" s="85" t="s">
        <v>747</v>
      </c>
      <c r="I11" s="85" t="s">
        <v>183</v>
      </c>
      <c r="J11" s="69"/>
      <c r="K11" s="86" t="s">
        <v>959</v>
      </c>
    </row>
    <row r="12" spans="1:11">
      <c r="A12" s="72" t="s">
        <v>269</v>
      </c>
      <c r="B12" s="73" t="str">
        <f t="shared" si="0"/>
        <v>B</v>
      </c>
      <c r="C12" s="74" t="b">
        <f t="shared" si="1"/>
        <v>0</v>
      </c>
      <c r="D12" s="84"/>
      <c r="E12" s="84" t="s">
        <v>749</v>
      </c>
      <c r="F12" s="85" t="s">
        <v>747</v>
      </c>
      <c r="G12" s="84" t="s">
        <v>182</v>
      </c>
      <c r="H12" s="85" t="s">
        <v>747</v>
      </c>
      <c r="I12" s="85" t="s">
        <v>183</v>
      </c>
      <c r="J12" s="69"/>
      <c r="K12" s="86" t="s">
        <v>959</v>
      </c>
    </row>
    <row r="13" spans="1:11">
      <c r="A13" s="72" t="s">
        <v>360</v>
      </c>
      <c r="B13" s="73" t="str">
        <f t="shared" si="0"/>
        <v>B</v>
      </c>
      <c r="C13" s="74" t="b">
        <f t="shared" si="1"/>
        <v>1</v>
      </c>
      <c r="D13" s="84">
        <v>1</v>
      </c>
      <c r="E13" s="84" t="s">
        <v>750</v>
      </c>
      <c r="F13" s="85" t="s">
        <v>751</v>
      </c>
      <c r="G13" s="84" t="s">
        <v>182</v>
      </c>
      <c r="H13" s="85" t="s">
        <v>752</v>
      </c>
      <c r="I13" s="85" t="s">
        <v>194</v>
      </c>
      <c r="J13" s="69"/>
      <c r="K13" s="86" t="s">
        <v>1104</v>
      </c>
    </row>
    <row r="14" spans="1:11">
      <c r="A14" s="72" t="s">
        <v>361</v>
      </c>
      <c r="B14" s="73" t="str">
        <f t="shared" si="0"/>
        <v>C</v>
      </c>
      <c r="C14" s="74" t="b">
        <f t="shared" si="1"/>
        <v>0</v>
      </c>
      <c r="D14" s="84">
        <v>72</v>
      </c>
      <c r="E14" s="84" t="s">
        <v>77</v>
      </c>
      <c r="F14" s="85" t="s">
        <v>649</v>
      </c>
      <c r="G14" s="84" t="s">
        <v>78</v>
      </c>
      <c r="H14" s="85" t="s">
        <v>79</v>
      </c>
      <c r="I14" s="85" t="s">
        <v>53</v>
      </c>
      <c r="J14" s="69"/>
      <c r="K14" s="86" t="s">
        <v>1103</v>
      </c>
    </row>
    <row r="15" spans="1:11">
      <c r="A15" s="72" t="s">
        <v>362</v>
      </c>
      <c r="B15" s="73" t="str">
        <f t="shared" si="0"/>
        <v>C</v>
      </c>
      <c r="C15" s="74" t="b">
        <f t="shared" si="1"/>
        <v>0</v>
      </c>
      <c r="D15" s="84"/>
      <c r="E15" s="84" t="s">
        <v>80</v>
      </c>
      <c r="F15" s="85" t="s">
        <v>649</v>
      </c>
      <c r="G15" s="84" t="s">
        <v>78</v>
      </c>
      <c r="H15" s="85" t="s">
        <v>79</v>
      </c>
      <c r="I15" s="85" t="s">
        <v>53</v>
      </c>
      <c r="J15" s="69"/>
      <c r="K15" s="86" t="s">
        <v>1103</v>
      </c>
    </row>
    <row r="16" spans="1:11">
      <c r="A16" s="72" t="s">
        <v>363</v>
      </c>
      <c r="B16" s="73" t="str">
        <f t="shared" si="0"/>
        <v>C</v>
      </c>
      <c r="C16" s="74" t="b">
        <f t="shared" si="1"/>
        <v>0</v>
      </c>
      <c r="D16" s="84"/>
      <c r="E16" s="84" t="s">
        <v>49</v>
      </c>
      <c r="F16" s="85" t="s">
        <v>649</v>
      </c>
      <c r="G16" s="84" t="s">
        <v>78</v>
      </c>
      <c r="H16" s="85" t="s">
        <v>79</v>
      </c>
      <c r="I16" s="85" t="s">
        <v>53</v>
      </c>
      <c r="J16" s="69"/>
      <c r="K16" s="86" t="s">
        <v>959</v>
      </c>
    </row>
    <row r="17" spans="1:11">
      <c r="A17" s="72" t="s">
        <v>364</v>
      </c>
      <c r="B17" s="73" t="str">
        <f t="shared" si="0"/>
        <v>C</v>
      </c>
      <c r="C17" s="74" t="b">
        <f t="shared" si="1"/>
        <v>0</v>
      </c>
      <c r="D17" s="84"/>
      <c r="E17" s="84" t="s">
        <v>82</v>
      </c>
      <c r="F17" s="85" t="s">
        <v>649</v>
      </c>
      <c r="G17" s="84" t="s">
        <v>78</v>
      </c>
      <c r="H17" s="85" t="s">
        <v>79</v>
      </c>
      <c r="I17" s="85" t="s">
        <v>53</v>
      </c>
      <c r="J17" s="69"/>
      <c r="K17" s="86" t="s">
        <v>959</v>
      </c>
    </row>
    <row r="18" spans="1:11">
      <c r="A18" s="72" t="s">
        <v>365</v>
      </c>
      <c r="B18" s="73" t="str">
        <f t="shared" si="0"/>
        <v>C</v>
      </c>
      <c r="C18" s="74" t="b">
        <f t="shared" si="1"/>
        <v>0</v>
      </c>
      <c r="D18" s="84"/>
      <c r="E18" s="84" t="s">
        <v>83</v>
      </c>
      <c r="F18" s="85" t="s">
        <v>649</v>
      </c>
      <c r="G18" s="84" t="s">
        <v>78</v>
      </c>
      <c r="H18" s="85" t="s">
        <v>79</v>
      </c>
      <c r="I18" s="85" t="s">
        <v>53</v>
      </c>
      <c r="J18" s="69"/>
      <c r="K18" s="86" t="s">
        <v>959</v>
      </c>
    </row>
    <row r="19" spans="1:11">
      <c r="A19" s="72" t="s">
        <v>146</v>
      </c>
      <c r="B19" s="73" t="str">
        <f t="shared" si="0"/>
        <v>C</v>
      </c>
      <c r="C19" s="74" t="b">
        <f t="shared" si="1"/>
        <v>0</v>
      </c>
      <c r="D19" s="84"/>
      <c r="E19" s="84" t="s">
        <v>84</v>
      </c>
      <c r="F19" s="85" t="s">
        <v>649</v>
      </c>
      <c r="G19" s="84" t="s">
        <v>78</v>
      </c>
      <c r="H19" s="85" t="s">
        <v>79</v>
      </c>
      <c r="I19" s="85" t="s">
        <v>53</v>
      </c>
      <c r="J19" s="69"/>
      <c r="K19" s="86" t="s">
        <v>959</v>
      </c>
    </row>
    <row r="20" spans="1:11">
      <c r="A20" s="72" t="s">
        <v>366</v>
      </c>
      <c r="B20" s="73" t="str">
        <f t="shared" si="0"/>
        <v>C</v>
      </c>
      <c r="C20" s="74" t="b">
        <f t="shared" si="1"/>
        <v>0</v>
      </c>
      <c r="D20" s="84"/>
      <c r="E20" s="84" t="s">
        <v>86</v>
      </c>
      <c r="F20" s="85" t="s">
        <v>649</v>
      </c>
      <c r="G20" s="84" t="s">
        <v>78</v>
      </c>
      <c r="H20" s="85" t="s">
        <v>79</v>
      </c>
      <c r="I20" s="85" t="s">
        <v>53</v>
      </c>
      <c r="J20" s="69"/>
      <c r="K20" s="86" t="s">
        <v>959</v>
      </c>
    </row>
    <row r="21" spans="1:11">
      <c r="A21" s="72" t="s">
        <v>357</v>
      </c>
      <c r="B21" s="73" t="str">
        <f t="shared" si="0"/>
        <v>C</v>
      </c>
      <c r="C21" s="74" t="b">
        <f t="shared" si="1"/>
        <v>0</v>
      </c>
      <c r="D21" s="84"/>
      <c r="E21" s="84" t="s">
        <v>54</v>
      </c>
      <c r="F21" s="85" t="s">
        <v>649</v>
      </c>
      <c r="G21" s="84" t="s">
        <v>78</v>
      </c>
      <c r="H21" s="85" t="s">
        <v>79</v>
      </c>
      <c r="I21" s="85" t="s">
        <v>53</v>
      </c>
      <c r="J21" s="69"/>
      <c r="K21" s="86" t="s">
        <v>959</v>
      </c>
    </row>
    <row r="22" spans="1:11">
      <c r="A22" s="72" t="s">
        <v>367</v>
      </c>
      <c r="B22" s="73" t="str">
        <f t="shared" si="0"/>
        <v>C</v>
      </c>
      <c r="C22" s="74" t="b">
        <f t="shared" si="1"/>
        <v>0</v>
      </c>
      <c r="D22" s="84"/>
      <c r="E22" s="84" t="s">
        <v>92</v>
      </c>
      <c r="F22" s="85" t="s">
        <v>649</v>
      </c>
      <c r="G22" s="84" t="s">
        <v>78</v>
      </c>
      <c r="H22" s="85" t="s">
        <v>79</v>
      </c>
      <c r="I22" s="85" t="s">
        <v>53</v>
      </c>
      <c r="J22" s="69"/>
      <c r="K22" s="86" t="s">
        <v>959</v>
      </c>
    </row>
    <row r="23" spans="1:11">
      <c r="A23" s="72" t="s">
        <v>368</v>
      </c>
      <c r="B23" s="73" t="str">
        <f t="shared" si="0"/>
        <v>C</v>
      </c>
      <c r="C23" s="74" t="b">
        <f t="shared" si="1"/>
        <v>0</v>
      </c>
      <c r="D23" s="84"/>
      <c r="E23" s="84" t="s">
        <v>94</v>
      </c>
      <c r="F23" s="85" t="s">
        <v>649</v>
      </c>
      <c r="G23" s="84" t="s">
        <v>78</v>
      </c>
      <c r="H23" s="85" t="s">
        <v>79</v>
      </c>
      <c r="I23" s="85" t="s">
        <v>53</v>
      </c>
      <c r="J23" s="69"/>
      <c r="K23" s="86" t="s">
        <v>959</v>
      </c>
    </row>
    <row r="24" spans="1:11">
      <c r="A24" s="72" t="s">
        <v>369</v>
      </c>
      <c r="B24" s="73" t="str">
        <f t="shared" si="0"/>
        <v>C</v>
      </c>
      <c r="C24" s="74" t="b">
        <f t="shared" si="1"/>
        <v>0</v>
      </c>
      <c r="D24" s="84"/>
      <c r="E24" s="84" t="s">
        <v>73</v>
      </c>
      <c r="F24" s="85" t="s">
        <v>649</v>
      </c>
      <c r="G24" s="84" t="s">
        <v>78</v>
      </c>
      <c r="H24" s="85" t="s">
        <v>79</v>
      </c>
      <c r="I24" s="85" t="s">
        <v>53</v>
      </c>
      <c r="J24" s="69"/>
      <c r="K24" s="86" t="s">
        <v>959</v>
      </c>
    </row>
    <row r="25" spans="1:11">
      <c r="A25" s="72" t="s">
        <v>370</v>
      </c>
      <c r="B25" s="73" t="str">
        <f t="shared" si="0"/>
        <v>C</v>
      </c>
      <c r="C25" s="74" t="b">
        <f t="shared" si="1"/>
        <v>0</v>
      </c>
      <c r="D25" s="84"/>
      <c r="E25" s="84" t="s">
        <v>70</v>
      </c>
      <c r="F25" s="85" t="s">
        <v>649</v>
      </c>
      <c r="G25" s="84" t="s">
        <v>78</v>
      </c>
      <c r="H25" s="85" t="s">
        <v>79</v>
      </c>
      <c r="I25" s="85" t="s">
        <v>53</v>
      </c>
      <c r="J25" s="69"/>
      <c r="K25" s="86" t="s">
        <v>959</v>
      </c>
    </row>
    <row r="26" spans="1:11">
      <c r="A26" s="72" t="s">
        <v>371</v>
      </c>
      <c r="B26" s="73" t="str">
        <f t="shared" si="0"/>
        <v>C</v>
      </c>
      <c r="C26" s="74" t="b">
        <f t="shared" si="1"/>
        <v>0</v>
      </c>
      <c r="D26" s="84"/>
      <c r="E26" s="84" t="s">
        <v>75</v>
      </c>
      <c r="F26" s="85" t="s">
        <v>649</v>
      </c>
      <c r="G26" s="84" t="s">
        <v>78</v>
      </c>
      <c r="H26" s="85" t="s">
        <v>79</v>
      </c>
      <c r="I26" s="85" t="s">
        <v>53</v>
      </c>
      <c r="J26" s="69"/>
      <c r="K26" s="86" t="s">
        <v>959</v>
      </c>
    </row>
    <row r="27" spans="1:11">
      <c r="A27" s="72" t="s">
        <v>372</v>
      </c>
      <c r="B27" s="73" t="str">
        <f t="shared" si="0"/>
        <v>C</v>
      </c>
      <c r="C27" s="74" t="b">
        <f t="shared" si="1"/>
        <v>0</v>
      </c>
      <c r="D27" s="84"/>
      <c r="E27" s="84" t="s">
        <v>71</v>
      </c>
      <c r="F27" s="85" t="s">
        <v>649</v>
      </c>
      <c r="G27" s="84" t="s">
        <v>78</v>
      </c>
      <c r="H27" s="85" t="s">
        <v>79</v>
      </c>
      <c r="I27" s="85" t="s">
        <v>53</v>
      </c>
      <c r="J27" s="69"/>
      <c r="K27" s="86" t="s">
        <v>959</v>
      </c>
    </row>
    <row r="28" spans="1:11">
      <c r="A28" s="72" t="s">
        <v>373</v>
      </c>
      <c r="B28" s="73" t="str">
        <f t="shared" si="0"/>
        <v>C</v>
      </c>
      <c r="C28" s="74" t="b">
        <f t="shared" si="1"/>
        <v>0</v>
      </c>
      <c r="D28" s="84"/>
      <c r="E28" s="84" t="s">
        <v>96</v>
      </c>
      <c r="F28" s="85" t="s">
        <v>649</v>
      </c>
      <c r="G28" s="84" t="s">
        <v>78</v>
      </c>
      <c r="H28" s="85" t="s">
        <v>79</v>
      </c>
      <c r="I28" s="85" t="s">
        <v>53</v>
      </c>
      <c r="J28" s="69"/>
      <c r="K28" s="86" t="s">
        <v>959</v>
      </c>
    </row>
    <row r="29" spans="1:11">
      <c r="A29" s="72" t="s">
        <v>374</v>
      </c>
      <c r="B29" s="73" t="str">
        <f t="shared" si="0"/>
        <v>C</v>
      </c>
      <c r="C29" s="74" t="b">
        <f t="shared" si="1"/>
        <v>0</v>
      </c>
      <c r="D29" s="84"/>
      <c r="E29" s="84" t="s">
        <v>59</v>
      </c>
      <c r="F29" s="85" t="s">
        <v>649</v>
      </c>
      <c r="G29" s="84" t="s">
        <v>78</v>
      </c>
      <c r="H29" s="85" t="s">
        <v>79</v>
      </c>
      <c r="I29" s="85" t="s">
        <v>53</v>
      </c>
      <c r="J29" s="69"/>
      <c r="K29" s="86" t="s">
        <v>959</v>
      </c>
    </row>
    <row r="30" spans="1:11">
      <c r="A30" s="72" t="s">
        <v>375</v>
      </c>
      <c r="B30" s="73" t="str">
        <f t="shared" si="0"/>
        <v>C</v>
      </c>
      <c r="C30" s="74" t="b">
        <f t="shared" si="1"/>
        <v>0</v>
      </c>
      <c r="D30" s="84"/>
      <c r="E30" s="84" t="s">
        <v>97</v>
      </c>
      <c r="F30" s="85" t="s">
        <v>649</v>
      </c>
      <c r="G30" s="84" t="s">
        <v>78</v>
      </c>
      <c r="H30" s="85" t="s">
        <v>79</v>
      </c>
      <c r="I30" s="85" t="s">
        <v>53</v>
      </c>
      <c r="J30" s="69"/>
      <c r="K30" s="86" t="s">
        <v>959</v>
      </c>
    </row>
    <row r="31" spans="1:11">
      <c r="A31" s="72" t="s">
        <v>376</v>
      </c>
      <c r="B31" s="73" t="str">
        <f t="shared" si="0"/>
        <v>C</v>
      </c>
      <c r="C31" s="74" t="b">
        <f t="shared" si="1"/>
        <v>0</v>
      </c>
      <c r="D31" s="84"/>
      <c r="E31" s="84" t="s">
        <v>60</v>
      </c>
      <c r="F31" s="85" t="s">
        <v>649</v>
      </c>
      <c r="G31" s="84" t="s">
        <v>78</v>
      </c>
      <c r="H31" s="85" t="s">
        <v>79</v>
      </c>
      <c r="I31" s="85" t="s">
        <v>53</v>
      </c>
      <c r="J31" s="69"/>
      <c r="K31" s="86" t="s">
        <v>959</v>
      </c>
    </row>
    <row r="32" spans="1:11">
      <c r="A32" s="72" t="s">
        <v>377</v>
      </c>
      <c r="B32" s="73" t="str">
        <f t="shared" si="0"/>
        <v>C</v>
      </c>
      <c r="C32" s="74" t="b">
        <f t="shared" si="1"/>
        <v>0</v>
      </c>
      <c r="D32" s="84"/>
      <c r="E32" s="84" t="s">
        <v>61</v>
      </c>
      <c r="F32" s="85" t="s">
        <v>649</v>
      </c>
      <c r="G32" s="84" t="s">
        <v>78</v>
      </c>
      <c r="H32" s="85" t="s">
        <v>79</v>
      </c>
      <c r="I32" s="85" t="s">
        <v>53</v>
      </c>
      <c r="J32" s="69"/>
      <c r="K32" s="86" t="s">
        <v>959</v>
      </c>
    </row>
    <row r="33" spans="1:11">
      <c r="A33" s="72" t="s">
        <v>378</v>
      </c>
      <c r="B33" s="73" t="str">
        <f t="shared" si="0"/>
        <v>C</v>
      </c>
      <c r="C33" s="74" t="b">
        <f t="shared" si="1"/>
        <v>0</v>
      </c>
      <c r="D33" s="84"/>
      <c r="E33" s="84" t="s">
        <v>62</v>
      </c>
      <c r="F33" s="85" t="s">
        <v>649</v>
      </c>
      <c r="G33" s="84" t="s">
        <v>78</v>
      </c>
      <c r="H33" s="85" t="s">
        <v>79</v>
      </c>
      <c r="I33" s="85" t="s">
        <v>53</v>
      </c>
      <c r="J33" s="69"/>
      <c r="K33" s="86" t="s">
        <v>959</v>
      </c>
    </row>
    <row r="34" spans="1:11">
      <c r="A34" s="72" t="s">
        <v>379</v>
      </c>
      <c r="B34" s="73" t="str">
        <f t="shared" si="0"/>
        <v>C</v>
      </c>
      <c r="C34" s="74" t="b">
        <f t="shared" si="1"/>
        <v>0</v>
      </c>
      <c r="D34" s="84"/>
      <c r="E34" s="84" t="s">
        <v>34</v>
      </c>
      <c r="F34" s="85" t="s">
        <v>649</v>
      </c>
      <c r="G34" s="84" t="s">
        <v>78</v>
      </c>
      <c r="H34" s="85" t="s">
        <v>79</v>
      </c>
      <c r="I34" s="85" t="s">
        <v>53</v>
      </c>
      <c r="J34" s="69"/>
      <c r="K34" s="86" t="s">
        <v>959</v>
      </c>
    </row>
    <row r="35" spans="1:11">
      <c r="A35" s="72" t="s">
        <v>283</v>
      </c>
      <c r="B35" s="73" t="str">
        <f t="shared" si="0"/>
        <v>C</v>
      </c>
      <c r="C35" s="74" t="b">
        <f t="shared" si="1"/>
        <v>0</v>
      </c>
      <c r="D35" s="84"/>
      <c r="E35" s="84" t="s">
        <v>99</v>
      </c>
      <c r="F35" s="85" t="s">
        <v>649</v>
      </c>
      <c r="G35" s="84" t="s">
        <v>78</v>
      </c>
      <c r="H35" s="85" t="s">
        <v>79</v>
      </c>
      <c r="I35" s="85" t="s">
        <v>53</v>
      </c>
      <c r="J35" s="69"/>
      <c r="K35" s="86" t="s">
        <v>959</v>
      </c>
    </row>
    <row r="36" spans="1:11">
      <c r="A36" s="72" t="s">
        <v>380</v>
      </c>
      <c r="B36" s="73" t="str">
        <f t="shared" si="0"/>
        <v>C</v>
      </c>
      <c r="C36" s="74" t="b">
        <f t="shared" si="1"/>
        <v>0</v>
      </c>
      <c r="D36" s="84"/>
      <c r="E36" s="84" t="s">
        <v>101</v>
      </c>
      <c r="F36" s="85" t="s">
        <v>649</v>
      </c>
      <c r="G36" s="84" t="s">
        <v>78</v>
      </c>
      <c r="H36" s="85" t="s">
        <v>79</v>
      </c>
      <c r="I36" s="85" t="s">
        <v>53</v>
      </c>
      <c r="J36" s="69"/>
      <c r="K36" s="86" t="s">
        <v>959</v>
      </c>
    </row>
    <row r="37" spans="1:11">
      <c r="A37" s="72" t="s">
        <v>381</v>
      </c>
      <c r="B37" s="73" t="str">
        <f t="shared" si="0"/>
        <v>C</v>
      </c>
      <c r="C37" s="74" t="b">
        <f t="shared" si="1"/>
        <v>0</v>
      </c>
      <c r="D37" s="84"/>
      <c r="E37" s="84" t="s">
        <v>56</v>
      </c>
      <c r="F37" s="85" t="s">
        <v>649</v>
      </c>
      <c r="G37" s="84" t="s">
        <v>78</v>
      </c>
      <c r="H37" s="85" t="s">
        <v>79</v>
      </c>
      <c r="I37" s="85" t="s">
        <v>53</v>
      </c>
      <c r="J37" s="69"/>
      <c r="K37" s="86" t="s">
        <v>959</v>
      </c>
    </row>
    <row r="38" spans="1:11">
      <c r="A38" s="72" t="s">
        <v>382</v>
      </c>
      <c r="B38" s="73" t="str">
        <f t="shared" si="0"/>
        <v>C</v>
      </c>
      <c r="C38" s="74" t="b">
        <f t="shared" si="1"/>
        <v>0</v>
      </c>
      <c r="D38" s="84"/>
      <c r="E38" s="84" t="s">
        <v>103</v>
      </c>
      <c r="F38" s="85" t="s">
        <v>649</v>
      </c>
      <c r="G38" s="84" t="s">
        <v>78</v>
      </c>
      <c r="H38" s="85" t="s">
        <v>79</v>
      </c>
      <c r="I38" s="85" t="s">
        <v>53</v>
      </c>
      <c r="J38" s="69"/>
      <c r="K38" s="86" t="s">
        <v>959</v>
      </c>
    </row>
    <row r="39" spans="1:11">
      <c r="A39" s="72" t="s">
        <v>383</v>
      </c>
      <c r="B39" s="73" t="str">
        <f t="shared" si="0"/>
        <v>C</v>
      </c>
      <c r="C39" s="74" t="b">
        <f t="shared" si="1"/>
        <v>0</v>
      </c>
      <c r="D39" s="84"/>
      <c r="E39" s="84" t="s">
        <v>104</v>
      </c>
      <c r="F39" s="85" t="s">
        <v>649</v>
      </c>
      <c r="G39" s="84" t="s">
        <v>78</v>
      </c>
      <c r="H39" s="85" t="s">
        <v>79</v>
      </c>
      <c r="I39" s="85" t="s">
        <v>53</v>
      </c>
      <c r="J39" s="69"/>
      <c r="K39" s="86" t="s">
        <v>959</v>
      </c>
    </row>
    <row r="40" spans="1:11">
      <c r="A40" s="72" t="s">
        <v>384</v>
      </c>
      <c r="B40" s="73" t="str">
        <f t="shared" si="0"/>
        <v>C</v>
      </c>
      <c r="C40" s="74" t="b">
        <f t="shared" si="1"/>
        <v>0</v>
      </c>
      <c r="D40" s="84"/>
      <c r="E40" s="84" t="s">
        <v>106</v>
      </c>
      <c r="F40" s="85" t="s">
        <v>649</v>
      </c>
      <c r="G40" s="84" t="s">
        <v>78</v>
      </c>
      <c r="H40" s="85" t="s">
        <v>79</v>
      </c>
      <c r="I40" s="85" t="s">
        <v>53</v>
      </c>
      <c r="J40" s="69"/>
      <c r="K40" s="86" t="s">
        <v>959</v>
      </c>
    </row>
    <row r="41" spans="1:11">
      <c r="A41" s="72" t="s">
        <v>385</v>
      </c>
      <c r="B41" s="73" t="str">
        <f t="shared" si="0"/>
        <v>C</v>
      </c>
      <c r="C41" s="74" t="b">
        <f t="shared" si="1"/>
        <v>0</v>
      </c>
      <c r="D41" s="84"/>
      <c r="E41" s="84" t="s">
        <v>107</v>
      </c>
      <c r="F41" s="85" t="s">
        <v>649</v>
      </c>
      <c r="G41" s="84" t="s">
        <v>78</v>
      </c>
      <c r="H41" s="85" t="s">
        <v>79</v>
      </c>
      <c r="I41" s="85" t="s">
        <v>53</v>
      </c>
      <c r="J41" s="69"/>
      <c r="K41" s="86" t="s">
        <v>959</v>
      </c>
    </row>
    <row r="42" spans="1:11">
      <c r="A42" s="72" t="s">
        <v>386</v>
      </c>
      <c r="B42" s="73" t="str">
        <f t="shared" si="0"/>
        <v>C</v>
      </c>
      <c r="C42" s="74" t="b">
        <f t="shared" si="1"/>
        <v>0</v>
      </c>
      <c r="D42" s="84"/>
      <c r="E42" s="84" t="s">
        <v>108</v>
      </c>
      <c r="F42" s="85" t="s">
        <v>649</v>
      </c>
      <c r="G42" s="84" t="s">
        <v>78</v>
      </c>
      <c r="H42" s="85" t="s">
        <v>79</v>
      </c>
      <c r="I42" s="85" t="s">
        <v>53</v>
      </c>
      <c r="J42" s="69"/>
      <c r="K42" s="86" t="s">
        <v>959</v>
      </c>
    </row>
    <row r="43" spans="1:11">
      <c r="A43" s="72" t="s">
        <v>387</v>
      </c>
      <c r="B43" s="73" t="str">
        <f t="shared" si="0"/>
        <v>C</v>
      </c>
      <c r="C43" s="74" t="b">
        <f t="shared" si="1"/>
        <v>0</v>
      </c>
      <c r="D43" s="84"/>
      <c r="E43" s="84" t="s">
        <v>109</v>
      </c>
      <c r="F43" s="85" t="s">
        <v>649</v>
      </c>
      <c r="G43" s="84" t="s">
        <v>78</v>
      </c>
      <c r="H43" s="85" t="s">
        <v>79</v>
      </c>
      <c r="I43" s="85" t="s">
        <v>53</v>
      </c>
      <c r="J43" s="69"/>
      <c r="K43" s="86" t="s">
        <v>959</v>
      </c>
    </row>
    <row r="44" spans="1:11">
      <c r="A44" s="72" t="s">
        <v>388</v>
      </c>
      <c r="B44" s="73" t="str">
        <f t="shared" si="0"/>
        <v>C</v>
      </c>
      <c r="C44" s="74" t="b">
        <f t="shared" si="1"/>
        <v>0</v>
      </c>
      <c r="D44" s="84"/>
      <c r="E44" s="84" t="s">
        <v>110</v>
      </c>
      <c r="F44" s="85" t="s">
        <v>649</v>
      </c>
      <c r="G44" s="84" t="s">
        <v>78</v>
      </c>
      <c r="H44" s="85" t="s">
        <v>79</v>
      </c>
      <c r="I44" s="85" t="s">
        <v>53</v>
      </c>
      <c r="J44" s="69"/>
      <c r="K44" s="86" t="s">
        <v>959</v>
      </c>
    </row>
    <row r="45" spans="1:11">
      <c r="A45" s="72" t="s">
        <v>389</v>
      </c>
      <c r="B45" s="73" t="str">
        <f t="shared" si="0"/>
        <v>C</v>
      </c>
      <c r="C45" s="74" t="b">
        <f t="shared" si="1"/>
        <v>0</v>
      </c>
      <c r="D45" s="84"/>
      <c r="E45" s="84" t="s">
        <v>35</v>
      </c>
      <c r="F45" s="85" t="s">
        <v>649</v>
      </c>
      <c r="G45" s="84" t="s">
        <v>78</v>
      </c>
      <c r="H45" s="85" t="s">
        <v>79</v>
      </c>
      <c r="I45" s="85" t="s">
        <v>53</v>
      </c>
      <c r="J45" s="69"/>
      <c r="K45" s="86" t="s">
        <v>959</v>
      </c>
    </row>
    <row r="46" spans="1:11">
      <c r="A46" s="72" t="s">
        <v>390</v>
      </c>
      <c r="B46" s="73" t="str">
        <f t="shared" si="0"/>
        <v>C</v>
      </c>
      <c r="C46" s="74" t="b">
        <f t="shared" si="1"/>
        <v>0</v>
      </c>
      <c r="D46" s="84"/>
      <c r="E46" s="84" t="s">
        <v>111</v>
      </c>
      <c r="F46" s="85" t="s">
        <v>649</v>
      </c>
      <c r="G46" s="84" t="s">
        <v>78</v>
      </c>
      <c r="H46" s="85" t="s">
        <v>79</v>
      </c>
      <c r="I46" s="85" t="s">
        <v>53</v>
      </c>
      <c r="J46" s="69"/>
      <c r="K46" s="86" t="s">
        <v>959</v>
      </c>
    </row>
    <row r="47" spans="1:11">
      <c r="A47" s="72" t="s">
        <v>391</v>
      </c>
      <c r="B47" s="73" t="str">
        <f t="shared" si="0"/>
        <v>C</v>
      </c>
      <c r="C47" s="74" t="b">
        <f t="shared" si="1"/>
        <v>0</v>
      </c>
      <c r="D47" s="84"/>
      <c r="E47" s="84" t="s">
        <v>112</v>
      </c>
      <c r="F47" s="85" t="s">
        <v>649</v>
      </c>
      <c r="G47" s="84" t="s">
        <v>78</v>
      </c>
      <c r="H47" s="85" t="s">
        <v>79</v>
      </c>
      <c r="I47" s="85" t="s">
        <v>53</v>
      </c>
      <c r="J47" s="69"/>
      <c r="K47" s="86" t="s">
        <v>959</v>
      </c>
    </row>
    <row r="48" spans="1:11">
      <c r="A48" s="72" t="s">
        <v>392</v>
      </c>
      <c r="B48" s="73" t="str">
        <f t="shared" si="0"/>
        <v>C</v>
      </c>
      <c r="C48" s="74" t="b">
        <f t="shared" si="1"/>
        <v>0</v>
      </c>
      <c r="D48" s="84"/>
      <c r="E48" s="84" t="s">
        <v>113</v>
      </c>
      <c r="F48" s="85" t="s">
        <v>649</v>
      </c>
      <c r="G48" s="84" t="s">
        <v>78</v>
      </c>
      <c r="H48" s="85" t="s">
        <v>79</v>
      </c>
      <c r="I48" s="85" t="s">
        <v>53</v>
      </c>
      <c r="J48" s="69"/>
      <c r="K48" s="86" t="s">
        <v>959</v>
      </c>
    </row>
    <row r="49" spans="1:11">
      <c r="A49" s="72" t="s">
        <v>393</v>
      </c>
      <c r="B49" s="73" t="str">
        <f t="shared" si="0"/>
        <v>C</v>
      </c>
      <c r="C49" s="74" t="b">
        <f t="shared" si="1"/>
        <v>0</v>
      </c>
      <c r="D49" s="84"/>
      <c r="E49" s="84" t="s">
        <v>114</v>
      </c>
      <c r="F49" s="85" t="s">
        <v>649</v>
      </c>
      <c r="G49" s="84" t="s">
        <v>78</v>
      </c>
      <c r="H49" s="85" t="s">
        <v>79</v>
      </c>
      <c r="I49" s="85" t="s">
        <v>53</v>
      </c>
      <c r="J49" s="69"/>
      <c r="K49" s="86" t="s">
        <v>959</v>
      </c>
    </row>
    <row r="50" spans="1:11">
      <c r="A50" s="72" t="s">
        <v>394</v>
      </c>
      <c r="B50" s="73" t="str">
        <f t="shared" si="0"/>
        <v>C</v>
      </c>
      <c r="C50" s="74" t="b">
        <f t="shared" si="1"/>
        <v>0</v>
      </c>
      <c r="D50" s="84"/>
      <c r="E50" s="84" t="s">
        <v>64</v>
      </c>
      <c r="F50" s="85" t="s">
        <v>649</v>
      </c>
      <c r="G50" s="84" t="s">
        <v>78</v>
      </c>
      <c r="H50" s="85" t="s">
        <v>79</v>
      </c>
      <c r="I50" s="85" t="s">
        <v>53</v>
      </c>
      <c r="J50" s="69"/>
      <c r="K50" s="86" t="s">
        <v>959</v>
      </c>
    </row>
    <row r="51" spans="1:11">
      <c r="A51" s="72" t="s">
        <v>395</v>
      </c>
      <c r="B51" s="73" t="str">
        <f t="shared" si="0"/>
        <v>C</v>
      </c>
      <c r="C51" s="74" t="b">
        <f t="shared" si="1"/>
        <v>0</v>
      </c>
      <c r="D51" s="84"/>
      <c r="E51" s="84" t="s">
        <v>137</v>
      </c>
      <c r="F51" s="85" t="s">
        <v>649</v>
      </c>
      <c r="G51" s="84" t="s">
        <v>78</v>
      </c>
      <c r="H51" s="85" t="s">
        <v>79</v>
      </c>
      <c r="I51" s="85" t="s">
        <v>53</v>
      </c>
      <c r="J51" s="69"/>
      <c r="K51" s="86" t="s">
        <v>959</v>
      </c>
    </row>
    <row r="52" spans="1:11">
      <c r="A52" s="72" t="s">
        <v>396</v>
      </c>
      <c r="B52" s="73" t="str">
        <f t="shared" si="0"/>
        <v>C</v>
      </c>
      <c r="C52" s="74" t="b">
        <f t="shared" si="1"/>
        <v>0</v>
      </c>
      <c r="D52" s="84"/>
      <c r="E52" s="84" t="s">
        <v>753</v>
      </c>
      <c r="F52" s="85" t="s">
        <v>649</v>
      </c>
      <c r="G52" s="84" t="s">
        <v>78</v>
      </c>
      <c r="H52" s="85" t="s">
        <v>79</v>
      </c>
      <c r="I52" s="85" t="s">
        <v>53</v>
      </c>
      <c r="J52" s="69"/>
      <c r="K52" s="86" t="s">
        <v>959</v>
      </c>
    </row>
    <row r="53" spans="1:11">
      <c r="A53" s="72" t="s">
        <v>397</v>
      </c>
      <c r="B53" s="73" t="str">
        <f t="shared" si="0"/>
        <v>C</v>
      </c>
      <c r="C53" s="74" t="b">
        <f t="shared" si="1"/>
        <v>0</v>
      </c>
      <c r="D53" s="84"/>
      <c r="E53" s="84" t="s">
        <v>127</v>
      </c>
      <c r="F53" s="85" t="s">
        <v>649</v>
      </c>
      <c r="G53" s="84" t="s">
        <v>78</v>
      </c>
      <c r="H53" s="85" t="s">
        <v>79</v>
      </c>
      <c r="I53" s="85" t="s">
        <v>53</v>
      </c>
      <c r="J53" s="69"/>
      <c r="K53" s="86" t="s">
        <v>959</v>
      </c>
    </row>
    <row r="54" spans="1:11">
      <c r="A54" s="72" t="s">
        <v>398</v>
      </c>
      <c r="B54" s="73" t="str">
        <f t="shared" si="0"/>
        <v>C</v>
      </c>
      <c r="C54" s="74" t="b">
        <f t="shared" si="1"/>
        <v>0</v>
      </c>
      <c r="D54" s="84"/>
      <c r="E54" s="84" t="s">
        <v>47</v>
      </c>
      <c r="F54" s="85" t="s">
        <v>649</v>
      </c>
      <c r="G54" s="84" t="s">
        <v>78</v>
      </c>
      <c r="H54" s="85" t="s">
        <v>79</v>
      </c>
      <c r="I54" s="85" t="s">
        <v>53</v>
      </c>
      <c r="J54" s="69"/>
      <c r="K54" s="86" t="s">
        <v>959</v>
      </c>
    </row>
    <row r="55" spans="1:11">
      <c r="A55" s="72" t="s">
        <v>76</v>
      </c>
      <c r="B55" s="73" t="str">
        <f t="shared" si="0"/>
        <v>C</v>
      </c>
      <c r="C55" s="74" t="b">
        <f t="shared" si="1"/>
        <v>0</v>
      </c>
      <c r="D55" s="84"/>
      <c r="E55" s="84" t="s">
        <v>39</v>
      </c>
      <c r="F55" s="85" t="s">
        <v>649</v>
      </c>
      <c r="G55" s="84" t="s">
        <v>78</v>
      </c>
      <c r="H55" s="85" t="s">
        <v>79</v>
      </c>
      <c r="I55" s="85" t="s">
        <v>53</v>
      </c>
      <c r="J55" s="69"/>
      <c r="K55" s="86" t="s">
        <v>959</v>
      </c>
    </row>
    <row r="56" spans="1:11">
      <c r="A56" s="72" t="s">
        <v>399</v>
      </c>
      <c r="B56" s="73" t="str">
        <f t="shared" si="0"/>
        <v>C</v>
      </c>
      <c r="C56" s="74" t="b">
        <f t="shared" si="1"/>
        <v>0</v>
      </c>
      <c r="D56" s="84"/>
      <c r="E56" s="84" t="s">
        <v>117</v>
      </c>
      <c r="F56" s="85" t="s">
        <v>649</v>
      </c>
      <c r="G56" s="84" t="s">
        <v>78</v>
      </c>
      <c r="H56" s="85" t="s">
        <v>79</v>
      </c>
      <c r="I56" s="85" t="s">
        <v>53</v>
      </c>
      <c r="J56" s="69"/>
      <c r="K56" s="86" t="s">
        <v>959</v>
      </c>
    </row>
    <row r="57" spans="1:11">
      <c r="A57" s="72" t="s">
        <v>400</v>
      </c>
      <c r="B57" s="73" t="str">
        <f t="shared" si="0"/>
        <v>C</v>
      </c>
      <c r="C57" s="74" t="b">
        <f t="shared" si="1"/>
        <v>0</v>
      </c>
      <c r="D57" s="84"/>
      <c r="E57" s="84" t="s">
        <v>118</v>
      </c>
      <c r="F57" s="85" t="s">
        <v>649</v>
      </c>
      <c r="G57" s="84" t="s">
        <v>78</v>
      </c>
      <c r="H57" s="85" t="s">
        <v>79</v>
      </c>
      <c r="I57" s="85" t="s">
        <v>53</v>
      </c>
      <c r="J57" s="69"/>
      <c r="K57" s="86" t="s">
        <v>959</v>
      </c>
    </row>
    <row r="58" spans="1:11">
      <c r="A58" s="72" t="s">
        <v>401</v>
      </c>
      <c r="B58" s="73" t="str">
        <f t="shared" si="0"/>
        <v>C</v>
      </c>
      <c r="C58" s="74" t="b">
        <f t="shared" si="1"/>
        <v>0</v>
      </c>
      <c r="D58" s="84"/>
      <c r="E58" s="84" t="s">
        <v>119</v>
      </c>
      <c r="F58" s="85" t="s">
        <v>649</v>
      </c>
      <c r="G58" s="84" t="s">
        <v>78</v>
      </c>
      <c r="H58" s="85" t="s">
        <v>79</v>
      </c>
      <c r="I58" s="85" t="s">
        <v>53</v>
      </c>
      <c r="J58" s="69"/>
      <c r="K58" s="86" t="s">
        <v>959</v>
      </c>
    </row>
    <row r="59" spans="1:11">
      <c r="A59" s="72" t="s">
        <v>402</v>
      </c>
      <c r="B59" s="73" t="str">
        <f t="shared" si="0"/>
        <v>C</v>
      </c>
      <c r="C59" s="74" t="b">
        <f t="shared" si="1"/>
        <v>0</v>
      </c>
      <c r="D59" s="84"/>
      <c r="E59" s="84" t="s">
        <v>121</v>
      </c>
      <c r="F59" s="85" t="s">
        <v>649</v>
      </c>
      <c r="G59" s="84" t="s">
        <v>78</v>
      </c>
      <c r="H59" s="85" t="s">
        <v>79</v>
      </c>
      <c r="I59" s="85" t="s">
        <v>53</v>
      </c>
      <c r="J59" s="69"/>
      <c r="K59" s="86" t="s">
        <v>959</v>
      </c>
    </row>
    <row r="60" spans="1:11">
      <c r="A60" s="72" t="s">
        <v>403</v>
      </c>
      <c r="B60" s="73" t="str">
        <f t="shared" si="0"/>
        <v>C</v>
      </c>
      <c r="C60" s="74" t="b">
        <f t="shared" si="1"/>
        <v>0</v>
      </c>
      <c r="D60" s="84"/>
      <c r="E60" s="84" t="s">
        <v>754</v>
      </c>
      <c r="F60" s="85" t="s">
        <v>649</v>
      </c>
      <c r="G60" s="84" t="s">
        <v>78</v>
      </c>
      <c r="H60" s="85" t="s">
        <v>79</v>
      </c>
      <c r="I60" s="85" t="s">
        <v>53</v>
      </c>
      <c r="J60" s="69"/>
      <c r="K60" s="86" t="s">
        <v>959</v>
      </c>
    </row>
    <row r="61" spans="1:11">
      <c r="A61" s="72" t="s">
        <v>404</v>
      </c>
      <c r="B61" s="73" t="str">
        <f t="shared" si="0"/>
        <v>C</v>
      </c>
      <c r="C61" s="74" t="b">
        <f t="shared" si="1"/>
        <v>0</v>
      </c>
      <c r="D61" s="84"/>
      <c r="E61" s="84" t="s">
        <v>755</v>
      </c>
      <c r="F61" s="85" t="s">
        <v>649</v>
      </c>
      <c r="G61" s="84" t="s">
        <v>78</v>
      </c>
      <c r="H61" s="85" t="s">
        <v>79</v>
      </c>
      <c r="I61" s="85" t="s">
        <v>53</v>
      </c>
      <c r="J61" s="69"/>
      <c r="K61" s="86" t="s">
        <v>959</v>
      </c>
    </row>
    <row r="62" spans="1:11">
      <c r="A62" s="72" t="s">
        <v>405</v>
      </c>
      <c r="B62" s="73" t="str">
        <f t="shared" si="0"/>
        <v>C</v>
      </c>
      <c r="C62" s="74" t="b">
        <f t="shared" si="1"/>
        <v>0</v>
      </c>
      <c r="D62" s="84"/>
      <c r="E62" s="84" t="s">
        <v>756</v>
      </c>
      <c r="F62" s="85" t="s">
        <v>649</v>
      </c>
      <c r="G62" s="84" t="s">
        <v>78</v>
      </c>
      <c r="H62" s="85" t="s">
        <v>79</v>
      </c>
      <c r="I62" s="85" t="s">
        <v>53</v>
      </c>
      <c r="J62" s="69"/>
      <c r="K62" s="86" t="s">
        <v>959</v>
      </c>
    </row>
    <row r="63" spans="1:11">
      <c r="A63" s="72" t="s">
        <v>406</v>
      </c>
      <c r="B63" s="73" t="str">
        <f t="shared" si="0"/>
        <v>C</v>
      </c>
      <c r="C63" s="74" t="b">
        <f t="shared" si="1"/>
        <v>0</v>
      </c>
      <c r="D63" s="84"/>
      <c r="E63" s="84" t="s">
        <v>757</v>
      </c>
      <c r="F63" s="85" t="s">
        <v>649</v>
      </c>
      <c r="G63" s="84" t="s">
        <v>78</v>
      </c>
      <c r="H63" s="85" t="s">
        <v>79</v>
      </c>
      <c r="I63" s="85" t="s">
        <v>53</v>
      </c>
      <c r="J63" s="69"/>
      <c r="K63" s="86" t="s">
        <v>959</v>
      </c>
    </row>
    <row r="64" spans="1:11">
      <c r="A64" s="72" t="s">
        <v>407</v>
      </c>
      <c r="B64" s="73" t="str">
        <f t="shared" si="0"/>
        <v>C</v>
      </c>
      <c r="C64" s="74" t="b">
        <f t="shared" si="1"/>
        <v>0</v>
      </c>
      <c r="D64" s="84"/>
      <c r="E64" s="84" t="s">
        <v>758</v>
      </c>
      <c r="F64" s="85" t="s">
        <v>649</v>
      </c>
      <c r="G64" s="84" t="s">
        <v>78</v>
      </c>
      <c r="H64" s="85" t="s">
        <v>79</v>
      </c>
      <c r="I64" s="85" t="s">
        <v>53</v>
      </c>
      <c r="J64" s="69"/>
      <c r="K64" s="86" t="s">
        <v>959</v>
      </c>
    </row>
    <row r="65" spans="1:11">
      <c r="A65" s="72" t="s">
        <v>408</v>
      </c>
      <c r="B65" s="73" t="str">
        <f t="shared" si="0"/>
        <v>C</v>
      </c>
      <c r="C65" s="74" t="b">
        <f t="shared" si="1"/>
        <v>0</v>
      </c>
      <c r="D65" s="84"/>
      <c r="E65" s="84" t="s">
        <v>759</v>
      </c>
      <c r="F65" s="85" t="s">
        <v>649</v>
      </c>
      <c r="G65" s="84" t="s">
        <v>78</v>
      </c>
      <c r="H65" s="85" t="s">
        <v>79</v>
      </c>
      <c r="I65" s="85" t="s">
        <v>53</v>
      </c>
      <c r="J65" s="69"/>
      <c r="K65" s="86" t="s">
        <v>959</v>
      </c>
    </row>
    <row r="66" spans="1:11">
      <c r="A66" s="72" t="s">
        <v>409</v>
      </c>
      <c r="B66" s="73" t="str">
        <f t="shared" si="0"/>
        <v>C</v>
      </c>
      <c r="C66" s="74" t="b">
        <f t="shared" si="1"/>
        <v>0</v>
      </c>
      <c r="D66" s="84"/>
      <c r="E66" s="84" t="s">
        <v>760</v>
      </c>
      <c r="F66" s="85" t="s">
        <v>649</v>
      </c>
      <c r="G66" s="84" t="s">
        <v>78</v>
      </c>
      <c r="H66" s="85" t="s">
        <v>79</v>
      </c>
      <c r="I66" s="85" t="s">
        <v>53</v>
      </c>
      <c r="J66" s="69"/>
      <c r="K66" s="86" t="s">
        <v>959</v>
      </c>
    </row>
    <row r="67" spans="1:11">
      <c r="A67" s="72" t="s">
        <v>410</v>
      </c>
      <c r="B67" s="73" t="str">
        <f t="shared" ref="B67:B84" si="2">IF(AND(MID(E67,2,1)&gt;="A",MID(E67,2,1)&lt;="Z"),LEFT(E67,2),LEFT(E67,1))</f>
        <v>C</v>
      </c>
      <c r="C67" s="74" t="b">
        <f t="shared" ref="C67:C84" si="3">IF(D67&lt;&gt;"",NOT(C66),C66)</f>
        <v>0</v>
      </c>
      <c r="D67" s="84"/>
      <c r="E67" s="84" t="s">
        <v>761</v>
      </c>
      <c r="F67" s="85" t="s">
        <v>649</v>
      </c>
      <c r="G67" s="84" t="s">
        <v>78</v>
      </c>
      <c r="H67" s="85" t="s">
        <v>79</v>
      </c>
      <c r="I67" s="85" t="s">
        <v>53</v>
      </c>
      <c r="J67" s="69"/>
      <c r="K67" s="86" t="s">
        <v>959</v>
      </c>
    </row>
    <row r="68" spans="1:11">
      <c r="A68" s="72" t="s">
        <v>411</v>
      </c>
      <c r="B68" s="73" t="str">
        <f t="shared" si="2"/>
        <v>C</v>
      </c>
      <c r="C68" s="74" t="b">
        <f t="shared" si="3"/>
        <v>0</v>
      </c>
      <c r="D68" s="84"/>
      <c r="E68" s="84" t="s">
        <v>762</v>
      </c>
      <c r="F68" s="85" t="s">
        <v>649</v>
      </c>
      <c r="G68" s="84" t="s">
        <v>78</v>
      </c>
      <c r="H68" s="85" t="s">
        <v>79</v>
      </c>
      <c r="I68" s="85" t="s">
        <v>53</v>
      </c>
      <c r="J68" s="69"/>
      <c r="K68" s="86" t="s">
        <v>959</v>
      </c>
    </row>
    <row r="69" spans="1:11">
      <c r="A69" s="72" t="s">
        <v>412</v>
      </c>
      <c r="B69" s="73" t="str">
        <f t="shared" si="2"/>
        <v>C</v>
      </c>
      <c r="C69" s="74" t="b">
        <f t="shared" si="3"/>
        <v>0</v>
      </c>
      <c r="D69" s="84"/>
      <c r="E69" s="84" t="s">
        <v>763</v>
      </c>
      <c r="F69" s="85" t="s">
        <v>649</v>
      </c>
      <c r="G69" s="84" t="s">
        <v>78</v>
      </c>
      <c r="H69" s="85" t="s">
        <v>79</v>
      </c>
      <c r="I69" s="85" t="s">
        <v>53</v>
      </c>
      <c r="J69" s="69"/>
      <c r="K69" s="86" t="s">
        <v>959</v>
      </c>
    </row>
    <row r="70" spans="1:11">
      <c r="A70" s="72" t="s">
        <v>413</v>
      </c>
      <c r="B70" s="73" t="str">
        <f t="shared" si="2"/>
        <v>C</v>
      </c>
      <c r="C70" s="74" t="b">
        <f t="shared" si="3"/>
        <v>0</v>
      </c>
      <c r="D70" s="84"/>
      <c r="E70" s="84" t="s">
        <v>764</v>
      </c>
      <c r="F70" s="85" t="s">
        <v>649</v>
      </c>
      <c r="G70" s="84" t="s">
        <v>78</v>
      </c>
      <c r="H70" s="85" t="s">
        <v>79</v>
      </c>
      <c r="I70" s="85" t="s">
        <v>53</v>
      </c>
      <c r="J70" s="69"/>
      <c r="K70" s="86" t="s">
        <v>959</v>
      </c>
    </row>
    <row r="71" spans="1:11">
      <c r="A71" s="72" t="s">
        <v>414</v>
      </c>
      <c r="B71" s="73" t="str">
        <f t="shared" si="2"/>
        <v>C</v>
      </c>
      <c r="C71" s="74" t="b">
        <f t="shared" si="3"/>
        <v>0</v>
      </c>
      <c r="D71" s="84"/>
      <c r="E71" s="84" t="s">
        <v>765</v>
      </c>
      <c r="F71" s="85" t="s">
        <v>649</v>
      </c>
      <c r="G71" s="84" t="s">
        <v>78</v>
      </c>
      <c r="H71" s="85" t="s">
        <v>79</v>
      </c>
      <c r="I71" s="85" t="s">
        <v>53</v>
      </c>
      <c r="J71" s="69"/>
      <c r="K71" s="86" t="s">
        <v>959</v>
      </c>
    </row>
    <row r="72" spans="1:11">
      <c r="A72" s="72" t="s">
        <v>415</v>
      </c>
      <c r="B72" s="73" t="str">
        <f t="shared" si="2"/>
        <v>C</v>
      </c>
      <c r="C72" s="74" t="b">
        <f t="shared" si="3"/>
        <v>0</v>
      </c>
      <c r="D72" s="84"/>
      <c r="E72" s="84" t="s">
        <v>766</v>
      </c>
      <c r="F72" s="85" t="s">
        <v>649</v>
      </c>
      <c r="G72" s="84" t="s">
        <v>78</v>
      </c>
      <c r="H72" s="85" t="s">
        <v>79</v>
      </c>
      <c r="I72" s="85" t="s">
        <v>53</v>
      </c>
      <c r="J72" s="69"/>
      <c r="K72" s="86" t="s">
        <v>959</v>
      </c>
    </row>
    <row r="73" spans="1:11">
      <c r="A73" s="72" t="s">
        <v>416</v>
      </c>
      <c r="B73" s="73" t="str">
        <f t="shared" si="2"/>
        <v>C</v>
      </c>
      <c r="C73" s="74" t="b">
        <f t="shared" si="3"/>
        <v>0</v>
      </c>
      <c r="D73" s="84"/>
      <c r="E73" s="84" t="s">
        <v>767</v>
      </c>
      <c r="F73" s="85" t="s">
        <v>649</v>
      </c>
      <c r="G73" s="84" t="s">
        <v>78</v>
      </c>
      <c r="H73" s="85" t="s">
        <v>79</v>
      </c>
      <c r="I73" s="85" t="s">
        <v>53</v>
      </c>
      <c r="J73" s="69"/>
      <c r="K73" s="86" t="s">
        <v>959</v>
      </c>
    </row>
    <row r="74" spans="1:11">
      <c r="A74" s="72" t="s">
        <v>417</v>
      </c>
      <c r="B74" s="73" t="str">
        <f t="shared" si="2"/>
        <v>C</v>
      </c>
      <c r="C74" s="74" t="b">
        <f t="shared" si="3"/>
        <v>0</v>
      </c>
      <c r="D74" s="84"/>
      <c r="E74" s="84" t="s">
        <v>768</v>
      </c>
      <c r="F74" s="85" t="s">
        <v>649</v>
      </c>
      <c r="G74" s="84" t="s">
        <v>78</v>
      </c>
      <c r="H74" s="85" t="s">
        <v>79</v>
      </c>
      <c r="I74" s="85" t="s">
        <v>53</v>
      </c>
      <c r="J74" s="69"/>
      <c r="K74" s="86" t="s">
        <v>959</v>
      </c>
    </row>
    <row r="75" spans="1:11">
      <c r="A75" s="72" t="s">
        <v>418</v>
      </c>
      <c r="B75" s="73" t="str">
        <f t="shared" si="2"/>
        <v>C</v>
      </c>
      <c r="C75" s="74" t="b">
        <f t="shared" si="3"/>
        <v>0</v>
      </c>
      <c r="D75" s="84"/>
      <c r="E75" s="84" t="s">
        <v>769</v>
      </c>
      <c r="F75" s="85" t="s">
        <v>649</v>
      </c>
      <c r="G75" s="84" t="s">
        <v>78</v>
      </c>
      <c r="H75" s="85" t="s">
        <v>79</v>
      </c>
      <c r="I75" s="85" t="s">
        <v>53</v>
      </c>
      <c r="J75" s="69"/>
      <c r="K75" s="86" t="s">
        <v>959</v>
      </c>
    </row>
    <row r="76" spans="1:11">
      <c r="A76" s="72" t="s">
        <v>419</v>
      </c>
      <c r="B76" s="73" t="str">
        <f t="shared" si="2"/>
        <v>C</v>
      </c>
      <c r="C76" s="74" t="b">
        <f t="shared" si="3"/>
        <v>0</v>
      </c>
      <c r="D76" s="84"/>
      <c r="E76" s="84" t="s">
        <v>770</v>
      </c>
      <c r="F76" s="85" t="s">
        <v>649</v>
      </c>
      <c r="G76" s="84" t="s">
        <v>78</v>
      </c>
      <c r="H76" s="85" t="s">
        <v>79</v>
      </c>
      <c r="I76" s="85" t="s">
        <v>53</v>
      </c>
      <c r="J76" s="69"/>
      <c r="K76" s="86" t="s">
        <v>959</v>
      </c>
    </row>
    <row r="77" spans="1:11">
      <c r="A77" s="72" t="s">
        <v>420</v>
      </c>
      <c r="B77" s="73" t="str">
        <f t="shared" si="2"/>
        <v>C</v>
      </c>
      <c r="C77" s="74" t="b">
        <f t="shared" si="3"/>
        <v>0</v>
      </c>
      <c r="D77" s="84"/>
      <c r="E77" s="84" t="s">
        <v>771</v>
      </c>
      <c r="F77" s="85" t="s">
        <v>649</v>
      </c>
      <c r="G77" s="84" t="s">
        <v>78</v>
      </c>
      <c r="H77" s="85" t="s">
        <v>79</v>
      </c>
      <c r="I77" s="85" t="s">
        <v>53</v>
      </c>
      <c r="J77" s="69"/>
      <c r="K77" s="86" t="s">
        <v>959</v>
      </c>
    </row>
    <row r="78" spans="1:11">
      <c r="A78" s="72" t="s">
        <v>421</v>
      </c>
      <c r="B78" s="73" t="str">
        <f t="shared" si="2"/>
        <v>C</v>
      </c>
      <c r="C78" s="74" t="b">
        <f t="shared" si="3"/>
        <v>0</v>
      </c>
      <c r="D78" s="84"/>
      <c r="E78" s="84" t="s">
        <v>772</v>
      </c>
      <c r="F78" s="85" t="s">
        <v>649</v>
      </c>
      <c r="G78" s="84" t="s">
        <v>78</v>
      </c>
      <c r="H78" s="85" t="s">
        <v>79</v>
      </c>
      <c r="I78" s="85" t="s">
        <v>53</v>
      </c>
      <c r="J78" s="69"/>
      <c r="K78" s="86" t="s">
        <v>959</v>
      </c>
    </row>
    <row r="79" spans="1:11">
      <c r="A79" s="72" t="s">
        <v>422</v>
      </c>
      <c r="B79" s="73" t="str">
        <f t="shared" si="2"/>
        <v>C</v>
      </c>
      <c r="C79" s="74" t="b">
        <f t="shared" si="3"/>
        <v>0</v>
      </c>
      <c r="D79" s="84"/>
      <c r="E79" s="84" t="s">
        <v>773</v>
      </c>
      <c r="F79" s="85" t="s">
        <v>649</v>
      </c>
      <c r="G79" s="84" t="s">
        <v>78</v>
      </c>
      <c r="H79" s="85" t="s">
        <v>79</v>
      </c>
      <c r="I79" s="85" t="s">
        <v>53</v>
      </c>
      <c r="J79" s="69"/>
      <c r="K79" s="86" t="s">
        <v>959</v>
      </c>
    </row>
    <row r="80" spans="1:11">
      <c r="A80" s="72" t="s">
        <v>423</v>
      </c>
      <c r="B80" s="73" t="str">
        <f t="shared" si="2"/>
        <v>C</v>
      </c>
      <c r="C80" s="74" t="b">
        <f t="shared" si="3"/>
        <v>0</v>
      </c>
      <c r="D80" s="84"/>
      <c r="E80" s="84" t="s">
        <v>774</v>
      </c>
      <c r="F80" s="85" t="s">
        <v>649</v>
      </c>
      <c r="G80" s="84" t="s">
        <v>78</v>
      </c>
      <c r="H80" s="85" t="s">
        <v>79</v>
      </c>
      <c r="I80" s="85" t="s">
        <v>53</v>
      </c>
      <c r="J80" s="69"/>
      <c r="K80" s="86" t="s">
        <v>959</v>
      </c>
    </row>
    <row r="81" spans="1:11">
      <c r="A81" s="72" t="s">
        <v>424</v>
      </c>
      <c r="B81" s="73" t="str">
        <f t="shared" si="2"/>
        <v>C</v>
      </c>
      <c r="C81" s="74" t="b">
        <f t="shared" si="3"/>
        <v>0</v>
      </c>
      <c r="D81" s="84"/>
      <c r="E81" s="84" t="s">
        <v>775</v>
      </c>
      <c r="F81" s="85" t="s">
        <v>649</v>
      </c>
      <c r="G81" s="84" t="s">
        <v>78</v>
      </c>
      <c r="H81" s="85" t="s">
        <v>79</v>
      </c>
      <c r="I81" s="85" t="s">
        <v>53</v>
      </c>
      <c r="J81" s="69"/>
      <c r="K81" s="86" t="s">
        <v>959</v>
      </c>
    </row>
    <row r="82" spans="1:11">
      <c r="A82" s="72" t="s">
        <v>425</v>
      </c>
      <c r="B82" s="73" t="str">
        <f t="shared" si="2"/>
        <v>C</v>
      </c>
      <c r="C82" s="74" t="b">
        <f t="shared" si="3"/>
        <v>0</v>
      </c>
      <c r="D82" s="84"/>
      <c r="E82" s="84" t="s">
        <v>776</v>
      </c>
      <c r="F82" s="85" t="s">
        <v>649</v>
      </c>
      <c r="G82" s="84" t="s">
        <v>78</v>
      </c>
      <c r="H82" s="85" t="s">
        <v>79</v>
      </c>
      <c r="I82" s="85" t="s">
        <v>53</v>
      </c>
      <c r="J82" s="69"/>
      <c r="K82" s="86" t="s">
        <v>959</v>
      </c>
    </row>
    <row r="83" spans="1:11">
      <c r="A83" s="72" t="s">
        <v>426</v>
      </c>
      <c r="B83" s="73" t="str">
        <f t="shared" si="2"/>
        <v>C</v>
      </c>
      <c r="C83" s="74" t="b">
        <f t="shared" si="3"/>
        <v>0</v>
      </c>
      <c r="D83" s="84"/>
      <c r="E83" s="84" t="s">
        <v>777</v>
      </c>
      <c r="F83" s="85" t="s">
        <v>649</v>
      </c>
      <c r="G83" s="84" t="s">
        <v>78</v>
      </c>
      <c r="H83" s="85" t="s">
        <v>79</v>
      </c>
      <c r="I83" s="85" t="s">
        <v>53</v>
      </c>
      <c r="J83" s="69"/>
      <c r="K83" s="86" t="s">
        <v>959</v>
      </c>
    </row>
    <row r="84" spans="1:11">
      <c r="A84" s="72" t="s">
        <v>427</v>
      </c>
      <c r="B84" s="73" t="str">
        <f t="shared" si="2"/>
        <v>C</v>
      </c>
      <c r="C84" s="74" t="b">
        <f t="shared" si="3"/>
        <v>0</v>
      </c>
      <c r="D84" s="84"/>
      <c r="E84" s="84" t="s">
        <v>778</v>
      </c>
      <c r="F84" s="85" t="s">
        <v>649</v>
      </c>
      <c r="G84" s="84" t="s">
        <v>78</v>
      </c>
      <c r="H84" s="85" t="s">
        <v>79</v>
      </c>
      <c r="I84" s="85" t="s">
        <v>53</v>
      </c>
      <c r="J84" s="69"/>
      <c r="K84" s="86" t="s">
        <v>959</v>
      </c>
    </row>
    <row r="85" spans="1:11">
      <c r="A85" s="72" t="s">
        <v>428</v>
      </c>
      <c r="B85" s="73" t="str">
        <f t="shared" ref="B85:B148" si="4">IF(AND(MID(E85,2,1)&gt;="A",MID(E85,2,1)&lt;="Z"),LEFT(E85,2),LEFT(E85,1))</f>
        <v>C</v>
      </c>
      <c r="C85" s="74" t="b">
        <f t="shared" ref="C85:C148" si="5">IF(D85&lt;&gt;"",NOT(C84),C84)</f>
        <v>0</v>
      </c>
      <c r="D85" s="84"/>
      <c r="E85" s="84" t="s">
        <v>779</v>
      </c>
      <c r="F85" s="85" t="s">
        <v>649</v>
      </c>
      <c r="G85" s="84" t="s">
        <v>78</v>
      </c>
      <c r="H85" s="85" t="s">
        <v>79</v>
      </c>
      <c r="I85" s="85" t="s">
        <v>53</v>
      </c>
      <c r="J85" s="69"/>
      <c r="K85" s="86" t="s">
        <v>959</v>
      </c>
    </row>
    <row r="86" spans="1:11">
      <c r="A86" s="72" t="s">
        <v>429</v>
      </c>
      <c r="B86" s="73" t="str">
        <f t="shared" si="4"/>
        <v>C</v>
      </c>
      <c r="C86" s="74" t="b">
        <f t="shared" si="5"/>
        <v>1</v>
      </c>
      <c r="D86" s="84">
        <v>1</v>
      </c>
      <c r="E86" s="84" t="s">
        <v>30</v>
      </c>
      <c r="F86" s="85" t="s">
        <v>25</v>
      </c>
      <c r="G86" s="84" t="s">
        <v>26</v>
      </c>
      <c r="H86" s="85" t="s">
        <v>27</v>
      </c>
      <c r="I86" s="85" t="s">
        <v>28</v>
      </c>
      <c r="J86" s="69"/>
      <c r="K86" s="86" t="s">
        <v>961</v>
      </c>
    </row>
    <row r="87" spans="1:11">
      <c r="A87" s="72" t="s">
        <v>430</v>
      </c>
      <c r="B87" s="73" t="str">
        <f t="shared" si="4"/>
        <v>C</v>
      </c>
      <c r="C87" s="74" t="b">
        <f t="shared" si="5"/>
        <v>0</v>
      </c>
      <c r="D87" s="84">
        <v>9</v>
      </c>
      <c r="E87" s="84" t="s">
        <v>81</v>
      </c>
      <c r="F87" s="85" t="s">
        <v>50</v>
      </c>
      <c r="G87" s="84" t="s">
        <v>51</v>
      </c>
      <c r="H87" s="85" t="s">
        <v>52</v>
      </c>
      <c r="I87" s="85" t="s">
        <v>53</v>
      </c>
      <c r="J87" s="69"/>
      <c r="K87" s="86">
        <v>805</v>
      </c>
    </row>
    <row r="88" spans="1:11">
      <c r="A88" s="72" t="s">
        <v>431</v>
      </c>
      <c r="B88" s="73" t="str">
        <f t="shared" si="4"/>
        <v>C</v>
      </c>
      <c r="C88" s="74" t="b">
        <f t="shared" si="5"/>
        <v>0</v>
      </c>
      <c r="D88" s="84"/>
      <c r="E88" s="84" t="s">
        <v>85</v>
      </c>
      <c r="F88" s="85" t="s">
        <v>50</v>
      </c>
      <c r="G88" s="84" t="s">
        <v>51</v>
      </c>
      <c r="H88" s="85" t="s">
        <v>52</v>
      </c>
      <c r="I88" s="85" t="s">
        <v>53</v>
      </c>
      <c r="J88" s="69"/>
      <c r="K88" s="86">
        <v>805</v>
      </c>
    </row>
    <row r="89" spans="1:11">
      <c r="A89" s="72" t="s">
        <v>432</v>
      </c>
      <c r="B89" s="73" t="str">
        <f t="shared" si="4"/>
        <v>C</v>
      </c>
      <c r="C89" s="74" t="b">
        <f t="shared" si="5"/>
        <v>0</v>
      </c>
      <c r="D89" s="84"/>
      <c r="E89" s="84" t="s">
        <v>87</v>
      </c>
      <c r="F89" s="85" t="s">
        <v>50</v>
      </c>
      <c r="G89" s="84" t="s">
        <v>51</v>
      </c>
      <c r="H89" s="85" t="s">
        <v>52</v>
      </c>
      <c r="I89" s="85" t="s">
        <v>53</v>
      </c>
      <c r="J89" s="69"/>
      <c r="K89" s="86">
        <v>805</v>
      </c>
    </row>
    <row r="90" spans="1:11">
      <c r="A90" s="72" t="s">
        <v>433</v>
      </c>
      <c r="B90" s="73" t="str">
        <f t="shared" si="4"/>
        <v>C</v>
      </c>
      <c r="C90" s="74" t="b">
        <f t="shared" si="5"/>
        <v>0</v>
      </c>
      <c r="D90" s="84"/>
      <c r="E90" s="84" t="s">
        <v>89</v>
      </c>
      <c r="F90" s="85" t="s">
        <v>50</v>
      </c>
      <c r="G90" s="84" t="s">
        <v>51</v>
      </c>
      <c r="H90" s="85" t="s">
        <v>52</v>
      </c>
      <c r="I90" s="85" t="s">
        <v>53</v>
      </c>
      <c r="J90" s="69"/>
      <c r="K90" s="86">
        <v>805</v>
      </c>
    </row>
    <row r="91" spans="1:11">
      <c r="A91" s="72" t="s">
        <v>434</v>
      </c>
      <c r="B91" s="73" t="str">
        <f t="shared" si="4"/>
        <v>C</v>
      </c>
      <c r="C91" s="74" t="b">
        <f t="shared" si="5"/>
        <v>0</v>
      </c>
      <c r="D91" s="84"/>
      <c r="E91" s="84" t="s">
        <v>90</v>
      </c>
      <c r="F91" s="85" t="s">
        <v>50</v>
      </c>
      <c r="G91" s="84" t="s">
        <v>51</v>
      </c>
      <c r="H91" s="85" t="s">
        <v>52</v>
      </c>
      <c r="I91" s="85" t="s">
        <v>53</v>
      </c>
      <c r="J91" s="69"/>
      <c r="K91" s="86">
        <v>805</v>
      </c>
    </row>
    <row r="92" spans="1:11">
      <c r="A92" s="72" t="s">
        <v>435</v>
      </c>
      <c r="B92" s="73" t="str">
        <f t="shared" si="4"/>
        <v>C</v>
      </c>
      <c r="C92" s="74" t="b">
        <f t="shared" si="5"/>
        <v>0</v>
      </c>
      <c r="D92" s="84"/>
      <c r="E92" s="84" t="s">
        <v>67</v>
      </c>
      <c r="F92" s="85" t="s">
        <v>50</v>
      </c>
      <c r="G92" s="84" t="s">
        <v>51</v>
      </c>
      <c r="H92" s="85" t="s">
        <v>52</v>
      </c>
      <c r="I92" s="85" t="s">
        <v>53</v>
      </c>
      <c r="J92" s="69"/>
      <c r="K92" s="86">
        <v>805</v>
      </c>
    </row>
    <row r="93" spans="1:11">
      <c r="A93" s="72" t="s">
        <v>436</v>
      </c>
      <c r="B93" s="73" t="str">
        <f t="shared" si="4"/>
        <v>C</v>
      </c>
      <c r="C93" s="74" t="b">
        <f t="shared" si="5"/>
        <v>0</v>
      </c>
      <c r="D93" s="84"/>
      <c r="E93" s="84" t="s">
        <v>128</v>
      </c>
      <c r="F93" s="85" t="s">
        <v>50</v>
      </c>
      <c r="G93" s="84" t="s">
        <v>51</v>
      </c>
      <c r="H93" s="85" t="s">
        <v>52</v>
      </c>
      <c r="I93" s="85" t="s">
        <v>53</v>
      </c>
      <c r="J93" s="69"/>
      <c r="K93" s="86">
        <v>805</v>
      </c>
    </row>
    <row r="94" spans="1:11">
      <c r="A94" s="72" t="s">
        <v>437</v>
      </c>
      <c r="B94" s="73" t="str">
        <f t="shared" si="4"/>
        <v>C</v>
      </c>
      <c r="C94" s="74" t="b">
        <f t="shared" si="5"/>
        <v>0</v>
      </c>
      <c r="D94" s="84"/>
      <c r="E94" s="84" t="s">
        <v>129</v>
      </c>
      <c r="F94" s="85" t="s">
        <v>50</v>
      </c>
      <c r="G94" s="84" t="s">
        <v>51</v>
      </c>
      <c r="H94" s="85" t="s">
        <v>52</v>
      </c>
      <c r="I94" s="85" t="s">
        <v>53</v>
      </c>
      <c r="J94" s="69"/>
      <c r="K94" s="86">
        <v>805</v>
      </c>
    </row>
    <row r="95" spans="1:11">
      <c r="A95" s="72" t="s">
        <v>438</v>
      </c>
      <c r="B95" s="73" t="str">
        <f t="shared" si="4"/>
        <v>C</v>
      </c>
      <c r="C95" s="74" t="b">
        <f t="shared" si="5"/>
        <v>0</v>
      </c>
      <c r="D95" s="84"/>
      <c r="E95" s="84" t="s">
        <v>780</v>
      </c>
      <c r="F95" s="85" t="s">
        <v>50</v>
      </c>
      <c r="G95" s="84" t="s">
        <v>51</v>
      </c>
      <c r="H95" s="85" t="s">
        <v>52</v>
      </c>
      <c r="I95" s="85" t="s">
        <v>53</v>
      </c>
      <c r="J95" s="69"/>
      <c r="K95" s="86">
        <v>805</v>
      </c>
    </row>
    <row r="96" spans="1:11">
      <c r="A96" s="72" t="s">
        <v>439</v>
      </c>
      <c r="B96" s="73" t="str">
        <f t="shared" si="4"/>
        <v>C</v>
      </c>
      <c r="C96" s="74" t="b">
        <f t="shared" si="5"/>
        <v>1</v>
      </c>
      <c r="D96" s="84">
        <v>1</v>
      </c>
      <c r="E96" s="84" t="s">
        <v>32</v>
      </c>
      <c r="F96" s="85" t="s">
        <v>45</v>
      </c>
      <c r="G96" s="84" t="s">
        <v>26</v>
      </c>
      <c r="H96" s="85" t="s">
        <v>46</v>
      </c>
      <c r="I96" s="85" t="s">
        <v>28</v>
      </c>
      <c r="J96" s="69"/>
      <c r="K96" s="86" t="s">
        <v>961</v>
      </c>
    </row>
    <row r="97" spans="1:11">
      <c r="A97" s="72" t="s">
        <v>440</v>
      </c>
      <c r="B97" s="73" t="str">
        <f t="shared" si="4"/>
        <v>C</v>
      </c>
      <c r="C97" s="74" t="b">
        <f t="shared" si="5"/>
        <v>0</v>
      </c>
      <c r="D97" s="84">
        <v>1</v>
      </c>
      <c r="E97" s="84" t="s">
        <v>88</v>
      </c>
      <c r="F97" s="85" t="s">
        <v>781</v>
      </c>
      <c r="G97" s="84" t="s">
        <v>78</v>
      </c>
      <c r="H97" s="85" t="s">
        <v>782</v>
      </c>
      <c r="I97" s="85" t="s">
        <v>53</v>
      </c>
      <c r="J97" s="69"/>
      <c r="K97" s="86">
        <v>603</v>
      </c>
    </row>
    <row r="98" spans="1:11">
      <c r="A98" s="72" t="s">
        <v>441</v>
      </c>
      <c r="B98" s="73" t="str">
        <f t="shared" si="4"/>
        <v>C</v>
      </c>
      <c r="C98" s="74" t="b">
        <f t="shared" si="5"/>
        <v>1</v>
      </c>
      <c r="D98" s="84">
        <v>2</v>
      </c>
      <c r="E98" s="84" t="s">
        <v>91</v>
      </c>
      <c r="F98" s="85" t="s">
        <v>57</v>
      </c>
      <c r="G98" s="84" t="s">
        <v>51</v>
      </c>
      <c r="H98" s="85" t="s">
        <v>654</v>
      </c>
      <c r="I98" s="85" t="s">
        <v>53</v>
      </c>
      <c r="J98" s="69"/>
      <c r="K98" s="86">
        <v>805</v>
      </c>
    </row>
    <row r="99" spans="1:11">
      <c r="A99" s="72" t="s">
        <v>442</v>
      </c>
      <c r="B99" s="73" t="str">
        <f t="shared" si="4"/>
        <v>C</v>
      </c>
      <c r="C99" s="74" t="b">
        <f t="shared" si="5"/>
        <v>1</v>
      </c>
      <c r="D99" s="84"/>
      <c r="E99" s="84" t="s">
        <v>783</v>
      </c>
      <c r="F99" s="85" t="s">
        <v>57</v>
      </c>
      <c r="G99" s="84" t="s">
        <v>51</v>
      </c>
      <c r="H99" s="85" t="s">
        <v>654</v>
      </c>
      <c r="I99" s="85" t="s">
        <v>53</v>
      </c>
      <c r="J99" s="69"/>
      <c r="K99" s="86">
        <v>805</v>
      </c>
    </row>
    <row r="100" spans="1:11">
      <c r="A100" s="72" t="s">
        <v>443</v>
      </c>
      <c r="B100" s="73" t="str">
        <f t="shared" si="4"/>
        <v>C</v>
      </c>
      <c r="C100" s="74" t="b">
        <f t="shared" si="5"/>
        <v>0</v>
      </c>
      <c r="D100" s="84">
        <v>2</v>
      </c>
      <c r="E100" s="84" t="s">
        <v>93</v>
      </c>
      <c r="F100" s="85" t="s">
        <v>655</v>
      </c>
      <c r="G100" s="84" t="s">
        <v>78</v>
      </c>
      <c r="H100" s="85" t="s">
        <v>123</v>
      </c>
      <c r="I100" s="85" t="s">
        <v>53</v>
      </c>
      <c r="J100" s="69"/>
      <c r="K100" s="86">
        <v>603</v>
      </c>
    </row>
    <row r="101" spans="1:11">
      <c r="A101" s="72" t="s">
        <v>444</v>
      </c>
      <c r="B101" s="73" t="str">
        <f t="shared" si="4"/>
        <v>C</v>
      </c>
      <c r="C101" s="74" t="b">
        <f t="shared" si="5"/>
        <v>0</v>
      </c>
      <c r="D101" s="84"/>
      <c r="E101" s="84" t="s">
        <v>95</v>
      </c>
      <c r="F101" s="85" t="s">
        <v>655</v>
      </c>
      <c r="G101" s="84" t="s">
        <v>78</v>
      </c>
      <c r="H101" s="85" t="s">
        <v>123</v>
      </c>
      <c r="I101" s="85" t="s">
        <v>53</v>
      </c>
      <c r="J101" s="69"/>
      <c r="K101" s="86">
        <v>603</v>
      </c>
    </row>
    <row r="102" spans="1:11">
      <c r="A102" s="72" t="s">
        <v>445</v>
      </c>
      <c r="B102" s="73" t="str">
        <f t="shared" si="4"/>
        <v>C</v>
      </c>
      <c r="C102" s="74" t="b">
        <f t="shared" si="5"/>
        <v>1</v>
      </c>
      <c r="D102" s="84">
        <v>1</v>
      </c>
      <c r="E102" s="84" t="s">
        <v>33</v>
      </c>
      <c r="F102" s="85" t="s">
        <v>784</v>
      </c>
      <c r="G102" s="84" t="s">
        <v>26</v>
      </c>
      <c r="H102" s="85" t="s">
        <v>785</v>
      </c>
      <c r="I102" s="85" t="s">
        <v>28</v>
      </c>
      <c r="J102" s="69"/>
      <c r="K102" s="86" t="s">
        <v>961</v>
      </c>
    </row>
    <row r="103" spans="1:11">
      <c r="A103" s="72" t="s">
        <v>446</v>
      </c>
      <c r="B103" s="73" t="str">
        <f t="shared" si="4"/>
        <v>C</v>
      </c>
      <c r="C103" s="74" t="b">
        <f t="shared" si="5"/>
        <v>0</v>
      </c>
      <c r="D103" s="84">
        <v>3</v>
      </c>
      <c r="E103" s="84" t="s">
        <v>98</v>
      </c>
      <c r="F103" s="85" t="s">
        <v>1070</v>
      </c>
      <c r="G103" s="84" t="s">
        <v>68</v>
      </c>
      <c r="H103" s="85" t="s">
        <v>69</v>
      </c>
      <c r="I103" s="85" t="s">
        <v>53</v>
      </c>
      <c r="J103" s="69"/>
      <c r="K103" s="86">
        <v>603</v>
      </c>
    </row>
    <row r="104" spans="1:11">
      <c r="A104" s="72" t="s">
        <v>447</v>
      </c>
      <c r="B104" s="73" t="str">
        <f t="shared" si="4"/>
        <v>C</v>
      </c>
      <c r="C104" s="74" t="b">
        <f t="shared" si="5"/>
        <v>0</v>
      </c>
      <c r="D104" s="84"/>
      <c r="E104" s="84" t="s">
        <v>55</v>
      </c>
      <c r="F104" s="85" t="s">
        <v>1070</v>
      </c>
      <c r="G104" s="84" t="s">
        <v>68</v>
      </c>
      <c r="H104" s="85" t="s">
        <v>69</v>
      </c>
      <c r="I104" s="85" t="s">
        <v>53</v>
      </c>
      <c r="J104" s="69"/>
      <c r="K104" s="86">
        <v>603</v>
      </c>
    </row>
    <row r="105" spans="1:11">
      <c r="A105" s="72" t="s">
        <v>448</v>
      </c>
      <c r="B105" s="73" t="str">
        <f t="shared" si="4"/>
        <v>C</v>
      </c>
      <c r="C105" s="74" t="b">
        <f t="shared" si="5"/>
        <v>0</v>
      </c>
      <c r="D105" s="84"/>
      <c r="E105" s="84" t="s">
        <v>105</v>
      </c>
      <c r="F105" s="85" t="s">
        <v>1070</v>
      </c>
      <c r="G105" s="84" t="s">
        <v>68</v>
      </c>
      <c r="H105" s="85" t="s">
        <v>69</v>
      </c>
      <c r="I105" s="85" t="s">
        <v>53</v>
      </c>
      <c r="J105" s="69"/>
      <c r="K105" s="86">
        <v>603</v>
      </c>
    </row>
    <row r="106" spans="1:11">
      <c r="A106" s="72" t="s">
        <v>449</v>
      </c>
      <c r="B106" s="73" t="str">
        <f t="shared" si="4"/>
        <v>C</v>
      </c>
      <c r="C106" s="74" t="b">
        <f t="shared" si="5"/>
        <v>1</v>
      </c>
      <c r="D106" s="84">
        <v>2</v>
      </c>
      <c r="E106" s="84" t="s">
        <v>100</v>
      </c>
      <c r="F106" s="85" t="s">
        <v>648</v>
      </c>
      <c r="G106" s="84" t="s">
        <v>68</v>
      </c>
      <c r="H106" s="85" t="s">
        <v>74</v>
      </c>
      <c r="I106" s="85" t="s">
        <v>53</v>
      </c>
      <c r="J106" s="69"/>
      <c r="K106" s="86">
        <v>603</v>
      </c>
    </row>
    <row r="107" spans="1:11">
      <c r="A107" s="72" t="s">
        <v>450</v>
      </c>
      <c r="B107" s="73" t="str">
        <f t="shared" si="4"/>
        <v>C</v>
      </c>
      <c r="C107" s="74" t="b">
        <f t="shared" si="5"/>
        <v>1</v>
      </c>
      <c r="D107" s="84"/>
      <c r="E107" s="84" t="s">
        <v>102</v>
      </c>
      <c r="F107" s="85" t="s">
        <v>648</v>
      </c>
      <c r="G107" s="84" t="s">
        <v>68</v>
      </c>
      <c r="H107" s="85" t="s">
        <v>74</v>
      </c>
      <c r="I107" s="85" t="s">
        <v>53</v>
      </c>
      <c r="J107" s="69"/>
      <c r="K107" s="86">
        <v>603</v>
      </c>
    </row>
    <row r="108" spans="1:11">
      <c r="A108" s="72" t="s">
        <v>451</v>
      </c>
      <c r="B108" s="73" t="str">
        <f t="shared" si="4"/>
        <v>C</v>
      </c>
      <c r="C108" s="74" t="b">
        <f t="shared" si="5"/>
        <v>0</v>
      </c>
      <c r="D108" s="84">
        <v>8</v>
      </c>
      <c r="E108" s="84" t="s">
        <v>36</v>
      </c>
      <c r="F108" s="85" t="s">
        <v>652</v>
      </c>
      <c r="G108" s="84" t="s">
        <v>78</v>
      </c>
      <c r="H108" s="85" t="s">
        <v>653</v>
      </c>
      <c r="I108" s="85" t="s">
        <v>53</v>
      </c>
      <c r="J108" s="69"/>
      <c r="K108" s="86">
        <v>603</v>
      </c>
    </row>
    <row r="109" spans="1:11">
      <c r="A109" s="72" t="s">
        <v>452</v>
      </c>
      <c r="B109" s="73" t="str">
        <f t="shared" si="4"/>
        <v>C</v>
      </c>
      <c r="C109" s="74" t="b">
        <f t="shared" si="5"/>
        <v>0</v>
      </c>
      <c r="D109" s="84"/>
      <c r="E109" s="84" t="s">
        <v>41</v>
      </c>
      <c r="F109" s="85" t="s">
        <v>652</v>
      </c>
      <c r="G109" s="84" t="s">
        <v>78</v>
      </c>
      <c r="H109" s="85" t="s">
        <v>653</v>
      </c>
      <c r="I109" s="85" t="s">
        <v>53</v>
      </c>
      <c r="J109" s="69"/>
      <c r="K109" s="86">
        <v>603</v>
      </c>
    </row>
    <row r="110" spans="1:11">
      <c r="A110" s="72" t="s">
        <v>453</v>
      </c>
      <c r="B110" s="73" t="str">
        <f t="shared" si="4"/>
        <v>C</v>
      </c>
      <c r="C110" s="74" t="b">
        <f t="shared" si="5"/>
        <v>0</v>
      </c>
      <c r="D110" s="84"/>
      <c r="E110" s="84" t="s">
        <v>37</v>
      </c>
      <c r="F110" s="85" t="s">
        <v>652</v>
      </c>
      <c r="G110" s="84" t="s">
        <v>78</v>
      </c>
      <c r="H110" s="85" t="s">
        <v>653</v>
      </c>
      <c r="I110" s="85" t="s">
        <v>53</v>
      </c>
      <c r="J110" s="69"/>
      <c r="K110" s="86">
        <v>603</v>
      </c>
    </row>
    <row r="111" spans="1:11">
      <c r="A111" s="72" t="s">
        <v>454</v>
      </c>
      <c r="B111" s="73" t="str">
        <f t="shared" si="4"/>
        <v>C</v>
      </c>
      <c r="C111" s="74" t="b">
        <f t="shared" si="5"/>
        <v>0</v>
      </c>
      <c r="D111" s="84"/>
      <c r="E111" s="84" t="s">
        <v>115</v>
      </c>
      <c r="F111" s="85" t="s">
        <v>652</v>
      </c>
      <c r="G111" s="84" t="s">
        <v>78</v>
      </c>
      <c r="H111" s="85" t="s">
        <v>653</v>
      </c>
      <c r="I111" s="85" t="s">
        <v>53</v>
      </c>
      <c r="J111" s="69"/>
      <c r="K111" s="86">
        <v>603</v>
      </c>
    </row>
    <row r="112" spans="1:11">
      <c r="A112" s="72" t="s">
        <v>455</v>
      </c>
      <c r="B112" s="73" t="str">
        <f t="shared" si="4"/>
        <v>C</v>
      </c>
      <c r="C112" s="74" t="b">
        <f t="shared" si="5"/>
        <v>0</v>
      </c>
      <c r="D112" s="84"/>
      <c r="E112" s="84" t="s">
        <v>44</v>
      </c>
      <c r="F112" s="85" t="s">
        <v>652</v>
      </c>
      <c r="G112" s="84" t="s">
        <v>78</v>
      </c>
      <c r="H112" s="85" t="s">
        <v>653</v>
      </c>
      <c r="I112" s="85" t="s">
        <v>53</v>
      </c>
      <c r="J112" s="69"/>
      <c r="K112" s="86">
        <v>603</v>
      </c>
    </row>
    <row r="113" spans="1:11">
      <c r="A113" s="72" t="s">
        <v>456</v>
      </c>
      <c r="B113" s="73" t="str">
        <f t="shared" si="4"/>
        <v>C</v>
      </c>
      <c r="C113" s="74" t="b">
        <f t="shared" si="5"/>
        <v>0</v>
      </c>
      <c r="D113" s="84"/>
      <c r="E113" s="84" t="s">
        <v>125</v>
      </c>
      <c r="F113" s="85" t="s">
        <v>652</v>
      </c>
      <c r="G113" s="84" t="s">
        <v>78</v>
      </c>
      <c r="H113" s="85" t="s">
        <v>653</v>
      </c>
      <c r="I113" s="85" t="s">
        <v>53</v>
      </c>
      <c r="J113" s="69"/>
      <c r="K113" s="86">
        <v>603</v>
      </c>
    </row>
    <row r="114" spans="1:11">
      <c r="A114" s="72" t="s">
        <v>457</v>
      </c>
      <c r="B114" s="73" t="str">
        <f t="shared" si="4"/>
        <v>C</v>
      </c>
      <c r="C114" s="74" t="b">
        <f t="shared" si="5"/>
        <v>0</v>
      </c>
      <c r="D114" s="84"/>
      <c r="E114" s="84" t="s">
        <v>126</v>
      </c>
      <c r="F114" s="85" t="s">
        <v>652</v>
      </c>
      <c r="G114" s="84" t="s">
        <v>78</v>
      </c>
      <c r="H114" s="85" t="s">
        <v>653</v>
      </c>
      <c r="I114" s="85" t="s">
        <v>53</v>
      </c>
      <c r="J114" s="69"/>
      <c r="K114" s="86">
        <v>603</v>
      </c>
    </row>
    <row r="115" spans="1:11">
      <c r="A115" s="72" t="s">
        <v>458</v>
      </c>
      <c r="B115" s="73" t="str">
        <f t="shared" si="4"/>
        <v>C</v>
      </c>
      <c r="C115" s="74" t="b">
        <f t="shared" si="5"/>
        <v>0</v>
      </c>
      <c r="D115" s="84"/>
      <c r="E115" s="84" t="s">
        <v>136</v>
      </c>
      <c r="F115" s="85" t="s">
        <v>652</v>
      </c>
      <c r="G115" s="84" t="s">
        <v>78</v>
      </c>
      <c r="H115" s="85" t="s">
        <v>653</v>
      </c>
      <c r="I115" s="85" t="s">
        <v>53</v>
      </c>
      <c r="J115" s="69"/>
      <c r="K115" s="86">
        <v>603</v>
      </c>
    </row>
    <row r="116" spans="1:11">
      <c r="A116" s="72" t="s">
        <v>459</v>
      </c>
      <c r="B116" s="73" t="str">
        <f t="shared" si="4"/>
        <v>C</v>
      </c>
      <c r="C116" s="74" t="b">
        <f t="shared" si="5"/>
        <v>1</v>
      </c>
      <c r="D116" s="84">
        <v>11</v>
      </c>
      <c r="E116" s="84" t="s">
        <v>63</v>
      </c>
      <c r="F116" s="85" t="s">
        <v>650</v>
      </c>
      <c r="G116" s="84" t="s">
        <v>26</v>
      </c>
      <c r="H116" s="85" t="s">
        <v>31</v>
      </c>
      <c r="I116" s="85" t="s">
        <v>28</v>
      </c>
      <c r="J116" s="69"/>
      <c r="K116" s="86" t="s">
        <v>962</v>
      </c>
    </row>
    <row r="117" spans="1:11">
      <c r="A117" s="72" t="s">
        <v>460</v>
      </c>
      <c r="B117" s="73" t="str">
        <f t="shared" si="4"/>
        <v>C</v>
      </c>
      <c r="C117" s="74" t="b">
        <f t="shared" si="5"/>
        <v>1</v>
      </c>
      <c r="D117" s="84"/>
      <c r="E117" s="84" t="s">
        <v>116</v>
      </c>
      <c r="F117" s="85" t="s">
        <v>650</v>
      </c>
      <c r="G117" s="84" t="s">
        <v>26</v>
      </c>
      <c r="H117" s="85" t="s">
        <v>31</v>
      </c>
      <c r="I117" s="85" t="s">
        <v>28</v>
      </c>
      <c r="J117" s="69"/>
      <c r="K117" s="86" t="s">
        <v>962</v>
      </c>
    </row>
    <row r="118" spans="1:11">
      <c r="A118" s="72" t="s">
        <v>461</v>
      </c>
      <c r="B118" s="73" t="str">
        <f t="shared" si="4"/>
        <v>C</v>
      </c>
      <c r="C118" s="74" t="b">
        <f t="shared" si="5"/>
        <v>1</v>
      </c>
      <c r="D118" s="84"/>
      <c r="E118" s="84" t="s">
        <v>133</v>
      </c>
      <c r="F118" s="85" t="s">
        <v>650</v>
      </c>
      <c r="G118" s="84" t="s">
        <v>26</v>
      </c>
      <c r="H118" s="85" t="s">
        <v>31</v>
      </c>
      <c r="I118" s="85" t="s">
        <v>28</v>
      </c>
      <c r="J118" s="69"/>
      <c r="K118" s="86" t="s">
        <v>962</v>
      </c>
    </row>
    <row r="119" spans="1:11">
      <c r="A119" s="72" t="s">
        <v>462</v>
      </c>
      <c r="B119" s="73" t="str">
        <f t="shared" si="4"/>
        <v>C</v>
      </c>
      <c r="C119" s="74" t="b">
        <f t="shared" si="5"/>
        <v>1</v>
      </c>
      <c r="D119" s="84"/>
      <c r="E119" s="84" t="s">
        <v>135</v>
      </c>
      <c r="F119" s="85" t="s">
        <v>650</v>
      </c>
      <c r="G119" s="84" t="s">
        <v>26</v>
      </c>
      <c r="H119" s="85" t="s">
        <v>31</v>
      </c>
      <c r="I119" s="85" t="s">
        <v>28</v>
      </c>
      <c r="J119" s="69"/>
      <c r="K119" s="86" t="s">
        <v>962</v>
      </c>
    </row>
    <row r="120" spans="1:11">
      <c r="A120" s="72" t="s">
        <v>463</v>
      </c>
      <c r="B120" s="73" t="str">
        <f t="shared" si="4"/>
        <v>C</v>
      </c>
      <c r="C120" s="74" t="b">
        <f t="shared" si="5"/>
        <v>1</v>
      </c>
      <c r="D120" s="84"/>
      <c r="E120" s="84" t="s">
        <v>120</v>
      </c>
      <c r="F120" s="85" t="s">
        <v>650</v>
      </c>
      <c r="G120" s="84" t="s">
        <v>26</v>
      </c>
      <c r="H120" s="85" t="s">
        <v>31</v>
      </c>
      <c r="I120" s="85" t="s">
        <v>28</v>
      </c>
      <c r="J120" s="69"/>
      <c r="K120" s="86" t="s">
        <v>962</v>
      </c>
    </row>
    <row r="121" spans="1:11">
      <c r="A121" s="72" t="s">
        <v>464</v>
      </c>
      <c r="B121" s="73" t="str">
        <f t="shared" si="4"/>
        <v>C</v>
      </c>
      <c r="C121" s="74" t="b">
        <f t="shared" si="5"/>
        <v>1</v>
      </c>
      <c r="D121" s="84"/>
      <c r="E121" s="84" t="s">
        <v>786</v>
      </c>
      <c r="F121" s="85" t="s">
        <v>650</v>
      </c>
      <c r="G121" s="84" t="s">
        <v>26</v>
      </c>
      <c r="H121" s="85" t="s">
        <v>31</v>
      </c>
      <c r="I121" s="85" t="s">
        <v>28</v>
      </c>
      <c r="J121" s="69"/>
      <c r="K121" s="86" t="s">
        <v>962</v>
      </c>
    </row>
    <row r="122" spans="1:11">
      <c r="A122" s="72" t="s">
        <v>465</v>
      </c>
      <c r="B122" s="73" t="str">
        <f t="shared" si="4"/>
        <v>C</v>
      </c>
      <c r="C122" s="74" t="b">
        <f t="shared" si="5"/>
        <v>1</v>
      </c>
      <c r="D122" s="84"/>
      <c r="E122" s="84" t="s">
        <v>787</v>
      </c>
      <c r="F122" s="85" t="s">
        <v>650</v>
      </c>
      <c r="G122" s="84" t="s">
        <v>26</v>
      </c>
      <c r="H122" s="85" t="s">
        <v>31</v>
      </c>
      <c r="I122" s="85" t="s">
        <v>28</v>
      </c>
      <c r="J122" s="69"/>
      <c r="K122" s="86" t="s">
        <v>962</v>
      </c>
    </row>
    <row r="123" spans="1:11">
      <c r="A123" s="72" t="s">
        <v>466</v>
      </c>
      <c r="B123" s="73" t="str">
        <f t="shared" si="4"/>
        <v>C</v>
      </c>
      <c r="C123" s="74" t="b">
        <f t="shared" si="5"/>
        <v>1</v>
      </c>
      <c r="D123" s="84"/>
      <c r="E123" s="84" t="s">
        <v>788</v>
      </c>
      <c r="F123" s="85" t="s">
        <v>650</v>
      </c>
      <c r="G123" s="84" t="s">
        <v>26</v>
      </c>
      <c r="H123" s="85" t="s">
        <v>31</v>
      </c>
      <c r="I123" s="85" t="s">
        <v>28</v>
      </c>
      <c r="J123" s="69"/>
      <c r="K123" s="86" t="s">
        <v>962</v>
      </c>
    </row>
    <row r="124" spans="1:11">
      <c r="A124" s="72" t="s">
        <v>467</v>
      </c>
      <c r="B124" s="73" t="str">
        <f t="shared" si="4"/>
        <v>C</v>
      </c>
      <c r="C124" s="74" t="b">
        <f t="shared" si="5"/>
        <v>1</v>
      </c>
      <c r="D124" s="84"/>
      <c r="E124" s="84" t="s">
        <v>789</v>
      </c>
      <c r="F124" s="85" t="s">
        <v>650</v>
      </c>
      <c r="G124" s="84" t="s">
        <v>26</v>
      </c>
      <c r="H124" s="85" t="s">
        <v>31</v>
      </c>
      <c r="I124" s="85" t="s">
        <v>28</v>
      </c>
      <c r="J124" s="69"/>
      <c r="K124" s="86" t="s">
        <v>962</v>
      </c>
    </row>
    <row r="125" spans="1:11">
      <c r="A125" s="72" t="s">
        <v>468</v>
      </c>
      <c r="B125" s="73" t="str">
        <f t="shared" si="4"/>
        <v>C</v>
      </c>
      <c r="C125" s="74" t="b">
        <f t="shared" si="5"/>
        <v>1</v>
      </c>
      <c r="D125" s="84"/>
      <c r="E125" s="84" t="s">
        <v>790</v>
      </c>
      <c r="F125" s="85" t="s">
        <v>650</v>
      </c>
      <c r="G125" s="84" t="s">
        <v>26</v>
      </c>
      <c r="H125" s="85" t="s">
        <v>31</v>
      </c>
      <c r="I125" s="85" t="s">
        <v>28</v>
      </c>
      <c r="J125" s="69"/>
      <c r="K125" s="86" t="s">
        <v>962</v>
      </c>
    </row>
    <row r="126" spans="1:11">
      <c r="A126" s="72" t="s">
        <v>469</v>
      </c>
      <c r="B126" s="73" t="str">
        <f t="shared" si="4"/>
        <v>C</v>
      </c>
      <c r="C126" s="74" t="b">
        <f t="shared" si="5"/>
        <v>1</v>
      </c>
      <c r="D126" s="84"/>
      <c r="E126" s="84" t="s">
        <v>791</v>
      </c>
      <c r="F126" s="85" t="s">
        <v>650</v>
      </c>
      <c r="G126" s="84" t="s">
        <v>26</v>
      </c>
      <c r="H126" s="85" t="s">
        <v>31</v>
      </c>
      <c r="I126" s="85" t="s">
        <v>28</v>
      </c>
      <c r="J126" s="69"/>
      <c r="K126" s="86" t="s">
        <v>962</v>
      </c>
    </row>
    <row r="127" spans="1:11">
      <c r="A127" s="72" t="s">
        <v>470</v>
      </c>
      <c r="B127" s="73" t="str">
        <f t="shared" si="4"/>
        <v>C</v>
      </c>
      <c r="C127" s="74" t="b">
        <f t="shared" si="5"/>
        <v>0</v>
      </c>
      <c r="D127" s="84">
        <v>4</v>
      </c>
      <c r="E127" s="84" t="s">
        <v>65</v>
      </c>
      <c r="F127" s="85" t="s">
        <v>651</v>
      </c>
      <c r="G127" s="84" t="s">
        <v>51</v>
      </c>
      <c r="H127" s="85" t="s">
        <v>1071</v>
      </c>
      <c r="I127" s="85" t="s">
        <v>53</v>
      </c>
      <c r="J127" s="69"/>
      <c r="K127" s="86">
        <v>603</v>
      </c>
    </row>
    <row r="128" spans="1:11">
      <c r="A128" s="72" t="s">
        <v>471</v>
      </c>
      <c r="B128" s="73" t="str">
        <f t="shared" si="4"/>
        <v>C</v>
      </c>
      <c r="C128" s="74" t="b">
        <f t="shared" si="5"/>
        <v>0</v>
      </c>
      <c r="D128" s="84"/>
      <c r="E128" s="84" t="s">
        <v>138</v>
      </c>
      <c r="F128" s="85" t="s">
        <v>651</v>
      </c>
      <c r="G128" s="84" t="s">
        <v>51</v>
      </c>
      <c r="H128" s="85" t="s">
        <v>1071</v>
      </c>
      <c r="I128" s="85" t="s">
        <v>53</v>
      </c>
      <c r="J128" s="69"/>
      <c r="K128" s="86">
        <v>603</v>
      </c>
    </row>
    <row r="129" spans="1:11">
      <c r="A129" s="72" t="s">
        <v>472</v>
      </c>
      <c r="B129" s="73" t="str">
        <f t="shared" si="4"/>
        <v>C</v>
      </c>
      <c r="C129" s="74" t="b">
        <f t="shared" si="5"/>
        <v>0</v>
      </c>
      <c r="D129" s="84"/>
      <c r="E129" s="84" t="s">
        <v>38</v>
      </c>
      <c r="F129" s="85" t="s">
        <v>651</v>
      </c>
      <c r="G129" s="84" t="s">
        <v>51</v>
      </c>
      <c r="H129" s="85" t="s">
        <v>1071</v>
      </c>
      <c r="I129" s="85" t="s">
        <v>53</v>
      </c>
      <c r="J129" s="69"/>
      <c r="K129" s="86">
        <v>603</v>
      </c>
    </row>
    <row r="130" spans="1:11">
      <c r="A130" s="72" t="s">
        <v>473</v>
      </c>
      <c r="B130" s="73" t="str">
        <f t="shared" si="4"/>
        <v>C</v>
      </c>
      <c r="C130" s="74" t="b">
        <f t="shared" si="5"/>
        <v>0</v>
      </c>
      <c r="D130" s="84"/>
      <c r="E130" s="84" t="s">
        <v>792</v>
      </c>
      <c r="F130" s="85" t="s">
        <v>651</v>
      </c>
      <c r="G130" s="84" t="s">
        <v>51</v>
      </c>
      <c r="H130" s="85" t="s">
        <v>1071</v>
      </c>
      <c r="I130" s="85" t="s">
        <v>53</v>
      </c>
      <c r="J130" s="69"/>
      <c r="K130" s="86">
        <v>603</v>
      </c>
    </row>
    <row r="131" spans="1:11">
      <c r="A131" s="72" t="s">
        <v>474</v>
      </c>
      <c r="B131" s="73" t="str">
        <f t="shared" si="4"/>
        <v>C</v>
      </c>
      <c r="C131" s="74" t="b">
        <f t="shared" si="5"/>
        <v>1</v>
      </c>
      <c r="D131" s="84">
        <v>2</v>
      </c>
      <c r="E131" s="84" t="s">
        <v>134</v>
      </c>
      <c r="F131" s="85" t="s">
        <v>42</v>
      </c>
      <c r="G131" s="84" t="s">
        <v>26</v>
      </c>
      <c r="H131" s="85" t="s">
        <v>43</v>
      </c>
      <c r="I131" s="85" t="s">
        <v>28</v>
      </c>
      <c r="J131" s="69"/>
      <c r="K131" s="86" t="s">
        <v>963</v>
      </c>
    </row>
    <row r="132" spans="1:11">
      <c r="A132" s="72" t="s">
        <v>475</v>
      </c>
      <c r="B132" s="73" t="str">
        <f t="shared" si="4"/>
        <v>C</v>
      </c>
      <c r="C132" s="74" t="b">
        <f t="shared" si="5"/>
        <v>1</v>
      </c>
      <c r="D132" s="84"/>
      <c r="E132" s="84" t="s">
        <v>122</v>
      </c>
      <c r="F132" s="85" t="s">
        <v>42</v>
      </c>
      <c r="G132" s="84" t="s">
        <v>26</v>
      </c>
      <c r="H132" s="85" t="s">
        <v>43</v>
      </c>
      <c r="I132" s="85" t="s">
        <v>28</v>
      </c>
      <c r="J132" s="69"/>
      <c r="K132" s="86" t="s">
        <v>963</v>
      </c>
    </row>
    <row r="133" spans="1:11">
      <c r="A133" s="72" t="s">
        <v>476</v>
      </c>
      <c r="B133" s="73" t="str">
        <f t="shared" si="4"/>
        <v>C</v>
      </c>
      <c r="C133" s="74" t="b">
        <f t="shared" si="5"/>
        <v>0</v>
      </c>
      <c r="D133" s="84">
        <v>2</v>
      </c>
      <c r="E133" s="84" t="s">
        <v>124</v>
      </c>
      <c r="F133" s="85" t="s">
        <v>740</v>
      </c>
      <c r="G133" s="84" t="s">
        <v>78</v>
      </c>
      <c r="H133" s="85" t="s">
        <v>793</v>
      </c>
      <c r="I133" s="85" t="s">
        <v>53</v>
      </c>
      <c r="J133" s="69"/>
      <c r="K133" s="86">
        <v>603</v>
      </c>
    </row>
    <row r="134" spans="1:11">
      <c r="A134" s="72" t="s">
        <v>477</v>
      </c>
      <c r="B134" s="73" t="str">
        <f t="shared" si="4"/>
        <v>C</v>
      </c>
      <c r="C134" s="74" t="b">
        <f t="shared" si="5"/>
        <v>0</v>
      </c>
      <c r="D134" s="84"/>
      <c r="E134" s="84" t="s">
        <v>72</v>
      </c>
      <c r="F134" s="85" t="s">
        <v>740</v>
      </c>
      <c r="G134" s="84" t="s">
        <v>78</v>
      </c>
      <c r="H134" s="85" t="s">
        <v>793</v>
      </c>
      <c r="I134" s="85" t="s">
        <v>53</v>
      </c>
      <c r="J134" s="69"/>
      <c r="K134" s="86">
        <v>603</v>
      </c>
    </row>
    <row r="135" spans="1:11">
      <c r="A135" s="72" t="s">
        <v>478</v>
      </c>
      <c r="B135" s="73" t="str">
        <f t="shared" si="4"/>
        <v>C</v>
      </c>
      <c r="C135" s="74" t="b">
        <f t="shared" si="5"/>
        <v>1</v>
      </c>
      <c r="D135" s="84">
        <v>1</v>
      </c>
      <c r="E135" s="84" t="s">
        <v>40</v>
      </c>
      <c r="F135" s="85" t="s">
        <v>794</v>
      </c>
      <c r="G135" s="84" t="s">
        <v>26</v>
      </c>
      <c r="H135" s="85" t="s">
        <v>795</v>
      </c>
      <c r="I135" s="85" t="s">
        <v>28</v>
      </c>
      <c r="J135" s="69"/>
      <c r="K135" s="86" t="s">
        <v>961</v>
      </c>
    </row>
    <row r="136" spans="1:11">
      <c r="A136" s="72" t="s">
        <v>479</v>
      </c>
      <c r="B136" s="73" t="str">
        <f t="shared" si="4"/>
        <v>C</v>
      </c>
      <c r="C136" s="74" t="b">
        <f t="shared" si="5"/>
        <v>0</v>
      </c>
      <c r="D136" s="84">
        <v>1</v>
      </c>
      <c r="E136" s="84" t="s">
        <v>1072</v>
      </c>
      <c r="F136" s="85" t="s">
        <v>143</v>
      </c>
      <c r="G136" s="84" t="s">
        <v>68</v>
      </c>
      <c r="H136" s="85" t="s">
        <v>1073</v>
      </c>
      <c r="I136" s="85" t="s">
        <v>53</v>
      </c>
      <c r="J136" s="69"/>
      <c r="K136" s="86">
        <v>603</v>
      </c>
    </row>
    <row r="137" spans="1:11">
      <c r="A137" s="72" t="s">
        <v>480</v>
      </c>
      <c r="B137" s="73" t="str">
        <f t="shared" si="4"/>
        <v>C</v>
      </c>
      <c r="C137" s="74" t="b">
        <f t="shared" si="5"/>
        <v>1</v>
      </c>
      <c r="D137" s="84">
        <v>1</v>
      </c>
      <c r="E137" s="84" t="s">
        <v>796</v>
      </c>
      <c r="F137" s="85" t="s">
        <v>797</v>
      </c>
      <c r="G137" s="84" t="s">
        <v>78</v>
      </c>
      <c r="H137" s="85" t="s">
        <v>798</v>
      </c>
      <c r="I137" s="85" t="s">
        <v>53</v>
      </c>
      <c r="J137" s="69"/>
      <c r="K137" s="86">
        <v>603</v>
      </c>
    </row>
    <row r="138" spans="1:11">
      <c r="A138" s="72" t="s">
        <v>481</v>
      </c>
      <c r="B138" s="73" t="str">
        <f t="shared" si="4"/>
        <v>C</v>
      </c>
      <c r="C138" s="74" t="b">
        <f t="shared" si="5"/>
        <v>0</v>
      </c>
      <c r="D138" s="84">
        <v>1</v>
      </c>
      <c r="E138" s="84" t="s">
        <v>799</v>
      </c>
      <c r="F138" s="85" t="s">
        <v>656</v>
      </c>
      <c r="G138" s="84" t="s">
        <v>68</v>
      </c>
      <c r="H138" s="85" t="s">
        <v>130</v>
      </c>
      <c r="I138" s="85" t="s">
        <v>53</v>
      </c>
      <c r="J138" s="69"/>
      <c r="K138" s="86">
        <v>603</v>
      </c>
    </row>
    <row r="139" spans="1:11">
      <c r="A139" s="72" t="s">
        <v>482</v>
      </c>
      <c r="B139" s="73" t="str">
        <f t="shared" si="4"/>
        <v>C</v>
      </c>
      <c r="C139" s="74" t="b">
        <f t="shared" si="5"/>
        <v>1</v>
      </c>
      <c r="D139" s="84">
        <v>1</v>
      </c>
      <c r="E139" s="84" t="s">
        <v>800</v>
      </c>
      <c r="F139" s="85" t="s">
        <v>657</v>
      </c>
      <c r="G139" s="84" t="s">
        <v>68</v>
      </c>
      <c r="H139" s="85" t="s">
        <v>131</v>
      </c>
      <c r="I139" s="85" t="s">
        <v>53</v>
      </c>
      <c r="J139" s="69"/>
      <c r="K139" s="86">
        <v>603</v>
      </c>
    </row>
    <row r="140" spans="1:11">
      <c r="A140" s="72" t="s">
        <v>483</v>
      </c>
      <c r="B140" s="73" t="str">
        <f t="shared" si="4"/>
        <v>D</v>
      </c>
      <c r="C140" s="74" t="b">
        <f t="shared" si="5"/>
        <v>0</v>
      </c>
      <c r="D140" s="84">
        <v>1</v>
      </c>
      <c r="E140" s="84" t="s">
        <v>658</v>
      </c>
      <c r="F140" s="85" t="s">
        <v>801</v>
      </c>
      <c r="G140" s="84" t="s">
        <v>802</v>
      </c>
      <c r="H140" s="85" t="s">
        <v>801</v>
      </c>
      <c r="I140" s="85" t="s">
        <v>228</v>
      </c>
      <c r="J140" s="69"/>
      <c r="K140" s="86" t="s">
        <v>964</v>
      </c>
    </row>
    <row r="141" spans="1:11">
      <c r="A141" s="72" t="s">
        <v>484</v>
      </c>
      <c r="B141" s="73" t="str">
        <f t="shared" si="4"/>
        <v>D</v>
      </c>
      <c r="C141" s="74" t="b">
        <f t="shared" si="5"/>
        <v>1</v>
      </c>
      <c r="D141" s="84">
        <v>1</v>
      </c>
      <c r="E141" s="84" t="s">
        <v>139</v>
      </c>
      <c r="F141" s="85" t="s">
        <v>1074</v>
      </c>
      <c r="G141" s="84" t="s">
        <v>1075</v>
      </c>
      <c r="H141" s="85" t="s">
        <v>1074</v>
      </c>
      <c r="I141" s="85" t="s">
        <v>1076</v>
      </c>
      <c r="J141" s="69"/>
      <c r="K141" s="86" t="s">
        <v>1104</v>
      </c>
    </row>
    <row r="142" spans="1:11">
      <c r="A142" s="72" t="s">
        <v>485</v>
      </c>
      <c r="B142" s="73" t="str">
        <f t="shared" si="4"/>
        <v>D</v>
      </c>
      <c r="C142" s="74" t="b">
        <f t="shared" si="5"/>
        <v>0</v>
      </c>
      <c r="D142" s="84">
        <v>2</v>
      </c>
      <c r="E142" s="84" t="s">
        <v>140</v>
      </c>
      <c r="F142" s="85" t="s">
        <v>1077</v>
      </c>
      <c r="G142" s="84" t="s">
        <v>1078</v>
      </c>
      <c r="H142" s="85" t="s">
        <v>1077</v>
      </c>
      <c r="I142" s="85" t="s">
        <v>1079</v>
      </c>
      <c r="J142" s="69"/>
      <c r="K142" s="86" t="s">
        <v>1104</v>
      </c>
    </row>
    <row r="143" spans="1:11">
      <c r="A143" s="72" t="s">
        <v>486</v>
      </c>
      <c r="B143" s="73" t="str">
        <f t="shared" si="4"/>
        <v>D</v>
      </c>
      <c r="C143" s="74" t="b">
        <f t="shared" si="5"/>
        <v>0</v>
      </c>
      <c r="D143" s="84"/>
      <c r="E143" s="84" t="s">
        <v>803</v>
      </c>
      <c r="F143" s="85" t="s">
        <v>1080</v>
      </c>
      <c r="G143" s="84" t="s">
        <v>1078</v>
      </c>
      <c r="H143" s="85" t="s">
        <v>1077</v>
      </c>
      <c r="I143" s="85" t="s">
        <v>1079</v>
      </c>
      <c r="J143" s="69"/>
      <c r="K143" s="86" t="s">
        <v>960</v>
      </c>
    </row>
    <row r="144" spans="1:11">
      <c r="A144" s="72" t="s">
        <v>487</v>
      </c>
      <c r="B144" s="73" t="str">
        <f t="shared" si="4"/>
        <v>D</v>
      </c>
      <c r="C144" s="74" t="b">
        <f t="shared" si="5"/>
        <v>1</v>
      </c>
      <c r="D144" s="84">
        <v>3</v>
      </c>
      <c r="E144" s="84" t="s">
        <v>141</v>
      </c>
      <c r="F144" s="85" t="s">
        <v>1081</v>
      </c>
      <c r="G144" s="84" t="s">
        <v>645</v>
      </c>
      <c r="H144" s="85" t="s">
        <v>1081</v>
      </c>
      <c r="I144" s="85" t="s">
        <v>1079</v>
      </c>
      <c r="J144" s="69"/>
      <c r="K144" s="86" t="s">
        <v>960</v>
      </c>
    </row>
    <row r="145" spans="1:11">
      <c r="A145" s="72" t="s">
        <v>488</v>
      </c>
      <c r="B145" s="73" t="str">
        <f t="shared" si="4"/>
        <v>D</v>
      </c>
      <c r="C145" s="74" t="b">
        <f t="shared" si="5"/>
        <v>1</v>
      </c>
      <c r="D145" s="84"/>
      <c r="E145" s="84" t="s">
        <v>804</v>
      </c>
      <c r="F145" s="85" t="s">
        <v>1082</v>
      </c>
      <c r="G145" s="84" t="s">
        <v>645</v>
      </c>
      <c r="H145" s="85" t="s">
        <v>1081</v>
      </c>
      <c r="I145" s="85" t="s">
        <v>1079</v>
      </c>
      <c r="J145" s="69"/>
      <c r="K145" s="86" t="s">
        <v>960</v>
      </c>
    </row>
    <row r="146" spans="1:11">
      <c r="A146" s="72" t="s">
        <v>489</v>
      </c>
      <c r="B146" s="73" t="str">
        <f t="shared" si="4"/>
        <v>D</v>
      </c>
      <c r="C146" s="74" t="b">
        <f t="shared" si="5"/>
        <v>1</v>
      </c>
      <c r="D146" s="84"/>
      <c r="E146" s="84" t="s">
        <v>805</v>
      </c>
      <c r="F146" s="85" t="s">
        <v>1082</v>
      </c>
      <c r="G146" s="84" t="s">
        <v>645</v>
      </c>
      <c r="H146" s="85" t="s">
        <v>1081</v>
      </c>
      <c r="I146" s="85" t="s">
        <v>1079</v>
      </c>
      <c r="J146" s="69"/>
      <c r="K146" s="86" t="s">
        <v>960</v>
      </c>
    </row>
    <row r="147" spans="1:11">
      <c r="A147" s="72" t="s">
        <v>490</v>
      </c>
      <c r="B147" s="73" t="str">
        <f t="shared" si="4"/>
        <v>D</v>
      </c>
      <c r="C147" s="74" t="b">
        <f t="shared" si="5"/>
        <v>0</v>
      </c>
      <c r="D147" s="84">
        <v>1</v>
      </c>
      <c r="E147" s="84" t="s">
        <v>806</v>
      </c>
      <c r="F147" s="85" t="s">
        <v>1083</v>
      </c>
      <c r="G147" s="84" t="s">
        <v>1084</v>
      </c>
      <c r="H147" s="85" t="s">
        <v>1083</v>
      </c>
      <c r="I147" s="85" t="s">
        <v>1079</v>
      </c>
      <c r="J147" s="69"/>
      <c r="K147" s="86" t="s">
        <v>960</v>
      </c>
    </row>
    <row r="148" spans="1:11">
      <c r="A148" s="72" t="s">
        <v>491</v>
      </c>
      <c r="B148" s="73" t="str">
        <f t="shared" si="4"/>
        <v>D</v>
      </c>
      <c r="C148" s="74" t="b">
        <f t="shared" si="5"/>
        <v>1</v>
      </c>
      <c r="D148" s="84">
        <v>1</v>
      </c>
      <c r="E148" s="84" t="s">
        <v>807</v>
      </c>
      <c r="F148" s="85" t="s">
        <v>808</v>
      </c>
      <c r="G148" s="84" t="s">
        <v>217</v>
      </c>
      <c r="H148" s="85" t="s">
        <v>808</v>
      </c>
      <c r="I148" s="85" t="s">
        <v>218</v>
      </c>
      <c r="J148" s="69"/>
      <c r="K148" s="86" t="s">
        <v>964</v>
      </c>
    </row>
    <row r="149" spans="1:11">
      <c r="A149" s="72" t="s">
        <v>492</v>
      </c>
      <c r="B149" s="73" t="str">
        <f t="shared" ref="B149:B212" si="6">IF(AND(MID(E149,2,1)&gt;="A",MID(E149,2,1)&lt;="Z"),LEFT(E149,2),LEFT(E149,1))</f>
        <v>D</v>
      </c>
      <c r="C149" s="74" t="b">
        <f t="shared" ref="C149:C212" si="7">IF(D149&lt;&gt;"",NOT(C148),C148)</f>
        <v>0</v>
      </c>
      <c r="D149" s="84">
        <v>1</v>
      </c>
      <c r="E149" s="84" t="s">
        <v>809</v>
      </c>
      <c r="F149" s="85" t="s">
        <v>143</v>
      </c>
      <c r="G149" s="84" t="s">
        <v>659</v>
      </c>
      <c r="H149" s="85" t="s">
        <v>660</v>
      </c>
      <c r="I149" s="85" t="s">
        <v>661</v>
      </c>
      <c r="J149" s="69"/>
      <c r="K149" s="86" t="s">
        <v>965</v>
      </c>
    </row>
    <row r="150" spans="1:11">
      <c r="A150" s="72" t="s">
        <v>493</v>
      </c>
      <c r="B150" s="73" t="str">
        <f t="shared" si="6"/>
        <v>JP</v>
      </c>
      <c r="C150" s="74" t="b">
        <f t="shared" si="7"/>
        <v>1</v>
      </c>
      <c r="D150" s="84">
        <v>1</v>
      </c>
      <c r="E150" s="84" t="s">
        <v>147</v>
      </c>
      <c r="F150" s="85" t="s">
        <v>810</v>
      </c>
      <c r="G150" s="84" t="s">
        <v>811</v>
      </c>
      <c r="H150" s="85" t="s">
        <v>810</v>
      </c>
      <c r="I150" s="85" t="s">
        <v>812</v>
      </c>
      <c r="J150" s="69"/>
      <c r="K150" s="86"/>
    </row>
    <row r="151" spans="1:11">
      <c r="A151" s="72" t="s">
        <v>494</v>
      </c>
      <c r="B151" s="73" t="str">
        <f t="shared" si="6"/>
        <v>JP</v>
      </c>
      <c r="C151" s="74" t="b">
        <f t="shared" si="7"/>
        <v>0</v>
      </c>
      <c r="D151" s="84">
        <v>15</v>
      </c>
      <c r="E151" s="84" t="s">
        <v>148</v>
      </c>
      <c r="F151" s="85" t="s">
        <v>813</v>
      </c>
      <c r="G151" s="84" t="s">
        <v>814</v>
      </c>
      <c r="H151" s="85" t="s">
        <v>813</v>
      </c>
      <c r="I151" s="85" t="s">
        <v>812</v>
      </c>
      <c r="J151" s="69"/>
      <c r="K151" s="86"/>
    </row>
    <row r="152" spans="1:11">
      <c r="A152" s="72" t="s">
        <v>495</v>
      </c>
      <c r="B152" s="73" t="str">
        <f t="shared" si="6"/>
        <v>JP</v>
      </c>
      <c r="C152" s="74" t="b">
        <f t="shared" si="7"/>
        <v>0</v>
      </c>
      <c r="D152" s="84"/>
      <c r="E152" s="84" t="s">
        <v>149</v>
      </c>
      <c r="F152" s="85" t="s">
        <v>813</v>
      </c>
      <c r="G152" s="84" t="s">
        <v>814</v>
      </c>
      <c r="H152" s="85" t="s">
        <v>813</v>
      </c>
      <c r="I152" s="85" t="s">
        <v>812</v>
      </c>
      <c r="J152" s="69"/>
      <c r="K152" s="86"/>
    </row>
    <row r="153" spans="1:11">
      <c r="A153" s="72" t="s">
        <v>496</v>
      </c>
      <c r="B153" s="73" t="str">
        <f t="shared" si="6"/>
        <v>JP</v>
      </c>
      <c r="C153" s="74" t="b">
        <f t="shared" si="7"/>
        <v>0</v>
      </c>
      <c r="D153" s="84"/>
      <c r="E153" s="84" t="s">
        <v>165</v>
      </c>
      <c r="F153" s="85" t="s">
        <v>813</v>
      </c>
      <c r="G153" s="84" t="s">
        <v>814</v>
      </c>
      <c r="H153" s="85" t="s">
        <v>813</v>
      </c>
      <c r="I153" s="85" t="s">
        <v>812</v>
      </c>
      <c r="J153" s="69"/>
      <c r="K153" s="86"/>
    </row>
    <row r="154" spans="1:11">
      <c r="A154" s="72" t="s">
        <v>497</v>
      </c>
      <c r="B154" s="73" t="str">
        <f t="shared" si="6"/>
        <v>JP</v>
      </c>
      <c r="C154" s="74" t="b">
        <f t="shared" si="7"/>
        <v>0</v>
      </c>
      <c r="D154" s="84"/>
      <c r="E154" s="84" t="s">
        <v>150</v>
      </c>
      <c r="F154" s="85" t="s">
        <v>813</v>
      </c>
      <c r="G154" s="84" t="s">
        <v>814</v>
      </c>
      <c r="H154" s="85" t="s">
        <v>813</v>
      </c>
      <c r="I154" s="85" t="s">
        <v>812</v>
      </c>
      <c r="J154" s="69"/>
      <c r="K154" s="86"/>
    </row>
    <row r="155" spans="1:11">
      <c r="A155" s="72" t="s">
        <v>498</v>
      </c>
      <c r="B155" s="73" t="str">
        <f t="shared" si="6"/>
        <v>JP</v>
      </c>
      <c r="C155" s="74" t="b">
        <f t="shared" si="7"/>
        <v>0</v>
      </c>
      <c r="D155" s="84"/>
      <c r="E155" s="84" t="s">
        <v>152</v>
      </c>
      <c r="F155" s="85" t="s">
        <v>813</v>
      </c>
      <c r="G155" s="84" t="s">
        <v>814</v>
      </c>
      <c r="H155" s="85" t="s">
        <v>813</v>
      </c>
      <c r="I155" s="85" t="s">
        <v>812</v>
      </c>
      <c r="J155" s="69"/>
      <c r="K155" s="86"/>
    </row>
    <row r="156" spans="1:11">
      <c r="A156" s="72" t="s">
        <v>499</v>
      </c>
      <c r="B156" s="73" t="str">
        <f t="shared" si="6"/>
        <v>JP</v>
      </c>
      <c r="C156" s="74" t="b">
        <f t="shared" si="7"/>
        <v>0</v>
      </c>
      <c r="D156" s="84"/>
      <c r="E156" s="84" t="s">
        <v>153</v>
      </c>
      <c r="F156" s="85" t="s">
        <v>813</v>
      </c>
      <c r="G156" s="84" t="s">
        <v>814</v>
      </c>
      <c r="H156" s="85" t="s">
        <v>813</v>
      </c>
      <c r="I156" s="85" t="s">
        <v>812</v>
      </c>
      <c r="J156" s="69"/>
      <c r="K156" s="86"/>
    </row>
    <row r="157" spans="1:11">
      <c r="A157" s="72" t="s">
        <v>500</v>
      </c>
      <c r="B157" s="73" t="str">
        <f t="shared" si="6"/>
        <v>JP</v>
      </c>
      <c r="C157" s="74" t="b">
        <f t="shared" si="7"/>
        <v>0</v>
      </c>
      <c r="D157" s="84"/>
      <c r="E157" s="84" t="s">
        <v>154</v>
      </c>
      <c r="F157" s="85" t="s">
        <v>813</v>
      </c>
      <c r="G157" s="84" t="s">
        <v>814</v>
      </c>
      <c r="H157" s="85" t="s">
        <v>813</v>
      </c>
      <c r="I157" s="85" t="s">
        <v>812</v>
      </c>
      <c r="J157" s="69"/>
      <c r="K157" s="86"/>
    </row>
    <row r="158" spans="1:11">
      <c r="A158" s="72" t="s">
        <v>501</v>
      </c>
      <c r="B158" s="73" t="str">
        <f t="shared" si="6"/>
        <v>JP</v>
      </c>
      <c r="C158" s="74" t="b">
        <f t="shared" si="7"/>
        <v>0</v>
      </c>
      <c r="D158" s="84"/>
      <c r="E158" s="84" t="s">
        <v>155</v>
      </c>
      <c r="F158" s="85" t="s">
        <v>813</v>
      </c>
      <c r="G158" s="84" t="s">
        <v>814</v>
      </c>
      <c r="H158" s="85" t="s">
        <v>813</v>
      </c>
      <c r="I158" s="85" t="s">
        <v>812</v>
      </c>
      <c r="J158" s="69"/>
      <c r="K158" s="86"/>
    </row>
    <row r="159" spans="1:11">
      <c r="A159" s="72" t="s">
        <v>502</v>
      </c>
      <c r="B159" s="73" t="str">
        <f t="shared" si="6"/>
        <v>JP</v>
      </c>
      <c r="C159" s="74" t="b">
        <f t="shared" si="7"/>
        <v>0</v>
      </c>
      <c r="D159" s="84"/>
      <c r="E159" s="84" t="s">
        <v>156</v>
      </c>
      <c r="F159" s="85" t="s">
        <v>813</v>
      </c>
      <c r="G159" s="84" t="s">
        <v>814</v>
      </c>
      <c r="H159" s="85" t="s">
        <v>813</v>
      </c>
      <c r="I159" s="85" t="s">
        <v>812</v>
      </c>
      <c r="J159" s="69"/>
      <c r="K159" s="86"/>
    </row>
    <row r="160" spans="1:11">
      <c r="A160" s="72" t="s">
        <v>503</v>
      </c>
      <c r="B160" s="73" t="str">
        <f t="shared" si="6"/>
        <v>JP</v>
      </c>
      <c r="C160" s="74" t="b">
        <f t="shared" si="7"/>
        <v>0</v>
      </c>
      <c r="D160" s="84"/>
      <c r="E160" s="84" t="s">
        <v>157</v>
      </c>
      <c r="F160" s="85" t="s">
        <v>813</v>
      </c>
      <c r="G160" s="84" t="s">
        <v>814</v>
      </c>
      <c r="H160" s="85" t="s">
        <v>813</v>
      </c>
      <c r="I160" s="85" t="s">
        <v>812</v>
      </c>
      <c r="J160" s="69"/>
      <c r="K160" s="86"/>
    </row>
    <row r="161" spans="1:11">
      <c r="A161" s="72" t="s">
        <v>504</v>
      </c>
      <c r="B161" s="73" t="str">
        <f t="shared" si="6"/>
        <v>JP</v>
      </c>
      <c r="C161" s="74" t="b">
        <f t="shared" si="7"/>
        <v>0</v>
      </c>
      <c r="D161" s="84"/>
      <c r="E161" s="84" t="s">
        <v>158</v>
      </c>
      <c r="F161" s="85" t="s">
        <v>813</v>
      </c>
      <c r="G161" s="84" t="s">
        <v>814</v>
      </c>
      <c r="H161" s="85" t="s">
        <v>813</v>
      </c>
      <c r="I161" s="85" t="s">
        <v>812</v>
      </c>
      <c r="J161" s="69"/>
      <c r="K161" s="86"/>
    </row>
    <row r="162" spans="1:11">
      <c r="A162" s="72" t="s">
        <v>505</v>
      </c>
      <c r="B162" s="73" t="str">
        <f t="shared" si="6"/>
        <v>JP</v>
      </c>
      <c r="C162" s="74" t="b">
        <f t="shared" si="7"/>
        <v>0</v>
      </c>
      <c r="D162" s="84"/>
      <c r="E162" s="84" t="s">
        <v>159</v>
      </c>
      <c r="F162" s="85" t="s">
        <v>813</v>
      </c>
      <c r="G162" s="84" t="s">
        <v>814</v>
      </c>
      <c r="H162" s="85" t="s">
        <v>813</v>
      </c>
      <c r="I162" s="85" t="s">
        <v>812</v>
      </c>
      <c r="J162" s="69"/>
      <c r="K162" s="86"/>
    </row>
    <row r="163" spans="1:11">
      <c r="A163" s="72" t="s">
        <v>506</v>
      </c>
      <c r="B163" s="73" t="str">
        <f t="shared" si="6"/>
        <v>JP</v>
      </c>
      <c r="C163" s="74" t="b">
        <f t="shared" si="7"/>
        <v>0</v>
      </c>
      <c r="D163" s="84"/>
      <c r="E163" s="84" t="s">
        <v>160</v>
      </c>
      <c r="F163" s="85" t="s">
        <v>813</v>
      </c>
      <c r="G163" s="84" t="s">
        <v>814</v>
      </c>
      <c r="H163" s="85" t="s">
        <v>813</v>
      </c>
      <c r="I163" s="85" t="s">
        <v>812</v>
      </c>
      <c r="J163" s="69"/>
      <c r="K163" s="86"/>
    </row>
    <row r="164" spans="1:11">
      <c r="A164" s="72" t="s">
        <v>507</v>
      </c>
      <c r="B164" s="73" t="str">
        <f t="shared" si="6"/>
        <v>JP</v>
      </c>
      <c r="C164" s="74" t="b">
        <f t="shared" si="7"/>
        <v>0</v>
      </c>
      <c r="D164" s="84"/>
      <c r="E164" s="84" t="s">
        <v>662</v>
      </c>
      <c r="F164" s="85" t="s">
        <v>813</v>
      </c>
      <c r="G164" s="84" t="s">
        <v>814</v>
      </c>
      <c r="H164" s="85" t="s">
        <v>813</v>
      </c>
      <c r="I164" s="85" t="s">
        <v>812</v>
      </c>
      <c r="J164" s="69"/>
      <c r="K164" s="86"/>
    </row>
    <row r="165" spans="1:11">
      <c r="A165" s="72" t="s">
        <v>508</v>
      </c>
      <c r="B165" s="73" t="str">
        <f t="shared" si="6"/>
        <v>JP</v>
      </c>
      <c r="C165" s="74" t="b">
        <f t="shared" si="7"/>
        <v>0</v>
      </c>
      <c r="D165" s="84"/>
      <c r="E165" s="84" t="s">
        <v>663</v>
      </c>
      <c r="F165" s="85" t="s">
        <v>813</v>
      </c>
      <c r="G165" s="84" t="s">
        <v>814</v>
      </c>
      <c r="H165" s="85" t="s">
        <v>813</v>
      </c>
      <c r="I165" s="85" t="s">
        <v>812</v>
      </c>
      <c r="J165" s="69"/>
      <c r="K165" s="86"/>
    </row>
    <row r="166" spans="1:11">
      <c r="A166" s="72" t="s">
        <v>509</v>
      </c>
      <c r="B166" s="73" t="str">
        <f t="shared" si="6"/>
        <v>JP</v>
      </c>
      <c r="C166" s="74" t="b">
        <f t="shared" si="7"/>
        <v>1</v>
      </c>
      <c r="D166" s="84">
        <v>6</v>
      </c>
      <c r="E166" s="84" t="s">
        <v>151</v>
      </c>
      <c r="F166" s="85" t="s">
        <v>815</v>
      </c>
      <c r="G166" s="84" t="s">
        <v>814</v>
      </c>
      <c r="H166" s="85" t="s">
        <v>815</v>
      </c>
      <c r="I166" s="85" t="s">
        <v>812</v>
      </c>
      <c r="J166" s="69"/>
      <c r="K166" s="86"/>
    </row>
    <row r="167" spans="1:11">
      <c r="A167" s="72" t="s">
        <v>510</v>
      </c>
      <c r="B167" s="73" t="str">
        <f t="shared" si="6"/>
        <v>JP</v>
      </c>
      <c r="C167" s="74" t="b">
        <f t="shared" si="7"/>
        <v>1</v>
      </c>
      <c r="D167" s="84"/>
      <c r="E167" s="84" t="s">
        <v>161</v>
      </c>
      <c r="F167" s="85" t="s">
        <v>815</v>
      </c>
      <c r="G167" s="84" t="s">
        <v>814</v>
      </c>
      <c r="H167" s="85" t="s">
        <v>815</v>
      </c>
      <c r="I167" s="85" t="s">
        <v>812</v>
      </c>
      <c r="J167" s="69"/>
      <c r="K167" s="86"/>
    </row>
    <row r="168" spans="1:11">
      <c r="A168" s="72" t="s">
        <v>511</v>
      </c>
      <c r="B168" s="73" t="str">
        <f t="shared" si="6"/>
        <v>JP</v>
      </c>
      <c r="C168" s="74" t="b">
        <f t="shared" si="7"/>
        <v>1</v>
      </c>
      <c r="D168" s="84"/>
      <c r="E168" s="84" t="s">
        <v>162</v>
      </c>
      <c r="F168" s="85" t="s">
        <v>815</v>
      </c>
      <c r="G168" s="84" t="s">
        <v>814</v>
      </c>
      <c r="H168" s="85" t="s">
        <v>815</v>
      </c>
      <c r="I168" s="85" t="s">
        <v>812</v>
      </c>
      <c r="J168" s="69"/>
      <c r="K168" s="86"/>
    </row>
    <row r="169" spans="1:11">
      <c r="A169" s="72" t="s">
        <v>512</v>
      </c>
      <c r="B169" s="73" t="str">
        <f t="shared" si="6"/>
        <v>JP</v>
      </c>
      <c r="C169" s="74" t="b">
        <f t="shared" si="7"/>
        <v>1</v>
      </c>
      <c r="D169" s="84"/>
      <c r="E169" s="84" t="s">
        <v>163</v>
      </c>
      <c r="F169" s="85" t="s">
        <v>815</v>
      </c>
      <c r="G169" s="84" t="s">
        <v>814</v>
      </c>
      <c r="H169" s="85" t="s">
        <v>815</v>
      </c>
      <c r="I169" s="85" t="s">
        <v>812</v>
      </c>
      <c r="J169" s="69"/>
      <c r="K169" s="86"/>
    </row>
    <row r="170" spans="1:11">
      <c r="A170" s="72" t="s">
        <v>513</v>
      </c>
      <c r="B170" s="73" t="str">
        <f t="shared" si="6"/>
        <v>JP</v>
      </c>
      <c r="C170" s="74" t="b">
        <f t="shared" si="7"/>
        <v>1</v>
      </c>
      <c r="D170" s="84"/>
      <c r="E170" s="84" t="s">
        <v>166</v>
      </c>
      <c r="F170" s="85" t="s">
        <v>815</v>
      </c>
      <c r="G170" s="84" t="s">
        <v>814</v>
      </c>
      <c r="H170" s="85" t="s">
        <v>815</v>
      </c>
      <c r="I170" s="85" t="s">
        <v>812</v>
      </c>
      <c r="J170" s="69"/>
      <c r="K170" s="86"/>
    </row>
    <row r="171" spans="1:11">
      <c r="A171" s="72" t="s">
        <v>514</v>
      </c>
      <c r="B171" s="73" t="str">
        <f t="shared" si="6"/>
        <v>JP</v>
      </c>
      <c r="C171" s="74" t="b">
        <f t="shared" si="7"/>
        <v>1</v>
      </c>
      <c r="D171" s="84"/>
      <c r="E171" s="84" t="s">
        <v>164</v>
      </c>
      <c r="F171" s="85" t="s">
        <v>815</v>
      </c>
      <c r="G171" s="84" t="s">
        <v>814</v>
      </c>
      <c r="H171" s="85" t="s">
        <v>815</v>
      </c>
      <c r="I171" s="85" t="s">
        <v>812</v>
      </c>
      <c r="J171" s="69"/>
      <c r="K171" s="86"/>
    </row>
    <row r="172" spans="1:11">
      <c r="A172" s="72" t="s">
        <v>515</v>
      </c>
      <c r="B172" s="73" t="str">
        <f t="shared" si="6"/>
        <v>J</v>
      </c>
      <c r="C172" s="74" t="b">
        <f t="shared" si="7"/>
        <v>0</v>
      </c>
      <c r="D172" s="84">
        <v>1</v>
      </c>
      <c r="E172" s="84" t="s">
        <v>167</v>
      </c>
      <c r="F172" s="85" t="s">
        <v>666</v>
      </c>
      <c r="G172" s="84" t="s">
        <v>145</v>
      </c>
      <c r="H172" s="85" t="s">
        <v>816</v>
      </c>
      <c r="I172" s="85" t="s">
        <v>812</v>
      </c>
      <c r="J172" s="69"/>
      <c r="K172" s="86" t="s">
        <v>966</v>
      </c>
    </row>
    <row r="173" spans="1:11">
      <c r="A173" s="72" t="s">
        <v>516</v>
      </c>
      <c r="B173" s="73" t="str">
        <f t="shared" si="6"/>
        <v>J</v>
      </c>
      <c r="C173" s="74" t="b">
        <f t="shared" si="7"/>
        <v>1</v>
      </c>
      <c r="D173" s="84">
        <v>1</v>
      </c>
      <c r="E173" s="84" t="s">
        <v>168</v>
      </c>
      <c r="F173" s="85" t="s">
        <v>817</v>
      </c>
      <c r="G173" s="84" t="s">
        <v>818</v>
      </c>
      <c r="H173" s="85" t="s">
        <v>817</v>
      </c>
      <c r="I173" s="85" t="s">
        <v>812</v>
      </c>
      <c r="J173" s="69"/>
      <c r="K173" s="86"/>
    </row>
    <row r="174" spans="1:11">
      <c r="A174" s="72" t="s">
        <v>517</v>
      </c>
      <c r="B174" s="73" t="str">
        <f t="shared" si="6"/>
        <v>J</v>
      </c>
      <c r="C174" s="74" t="b">
        <f t="shared" si="7"/>
        <v>0</v>
      </c>
      <c r="D174" s="84">
        <v>1</v>
      </c>
      <c r="E174" s="84" t="s">
        <v>172</v>
      </c>
      <c r="F174" s="85" t="s">
        <v>819</v>
      </c>
      <c r="G174" s="84" t="s">
        <v>1085</v>
      </c>
      <c r="H174" s="85" t="s">
        <v>819</v>
      </c>
      <c r="I174" s="85" t="s">
        <v>820</v>
      </c>
      <c r="J174" s="69"/>
      <c r="K174" s="86"/>
    </row>
    <row r="175" spans="1:11">
      <c r="A175" s="72" t="s">
        <v>518</v>
      </c>
      <c r="B175" s="73" t="str">
        <f t="shared" si="6"/>
        <v>J</v>
      </c>
      <c r="C175" s="74" t="b">
        <f t="shared" si="7"/>
        <v>1</v>
      </c>
      <c r="D175" s="84">
        <v>1</v>
      </c>
      <c r="E175" s="84" t="s">
        <v>175</v>
      </c>
      <c r="F175" s="85" t="s">
        <v>169</v>
      </c>
      <c r="G175" s="84" t="s">
        <v>170</v>
      </c>
      <c r="H175" s="85" t="s">
        <v>169</v>
      </c>
      <c r="I175" s="85" t="s">
        <v>171</v>
      </c>
      <c r="J175" s="69"/>
      <c r="K175" s="86"/>
    </row>
    <row r="176" spans="1:11">
      <c r="A176" s="72" t="s">
        <v>519</v>
      </c>
      <c r="B176" s="73" t="str">
        <f t="shared" si="6"/>
        <v>J</v>
      </c>
      <c r="C176" s="74" t="b">
        <f t="shared" si="7"/>
        <v>0</v>
      </c>
      <c r="D176" s="84">
        <v>2</v>
      </c>
      <c r="E176" s="84" t="s">
        <v>177</v>
      </c>
      <c r="F176" s="85" t="s">
        <v>821</v>
      </c>
      <c r="G176" s="84" t="s">
        <v>1086</v>
      </c>
      <c r="H176" s="85" t="s">
        <v>821</v>
      </c>
      <c r="I176" s="85" t="s">
        <v>812</v>
      </c>
      <c r="J176" s="69"/>
      <c r="K176" s="86"/>
    </row>
    <row r="177" spans="1:11">
      <c r="A177" s="72" t="s">
        <v>520</v>
      </c>
      <c r="B177" s="73" t="str">
        <f t="shared" si="6"/>
        <v>J</v>
      </c>
      <c r="C177" s="74" t="b">
        <f t="shared" si="7"/>
        <v>0</v>
      </c>
      <c r="D177" s="84"/>
      <c r="E177" s="84" t="s">
        <v>178</v>
      </c>
      <c r="F177" s="85" t="s">
        <v>821</v>
      </c>
      <c r="G177" s="84" t="s">
        <v>1086</v>
      </c>
      <c r="H177" s="85" t="s">
        <v>821</v>
      </c>
      <c r="I177" s="85" t="s">
        <v>812</v>
      </c>
      <c r="J177" s="69"/>
      <c r="K177" s="86"/>
    </row>
    <row r="178" spans="1:11">
      <c r="A178" s="72" t="s">
        <v>521</v>
      </c>
      <c r="B178" s="73" t="str">
        <f t="shared" si="6"/>
        <v>J</v>
      </c>
      <c r="C178" s="74" t="b">
        <f t="shared" si="7"/>
        <v>1</v>
      </c>
      <c r="D178" s="84">
        <v>1</v>
      </c>
      <c r="E178" s="84" t="s">
        <v>179</v>
      </c>
      <c r="F178" s="85" t="s">
        <v>822</v>
      </c>
      <c r="G178" s="84" t="s">
        <v>823</v>
      </c>
      <c r="H178" s="85" t="s">
        <v>822</v>
      </c>
      <c r="I178" s="85" t="s">
        <v>824</v>
      </c>
      <c r="J178" s="69"/>
      <c r="K178" s="86"/>
    </row>
    <row r="179" spans="1:11">
      <c r="A179" s="72" t="s">
        <v>522</v>
      </c>
      <c r="B179" s="73" t="str">
        <f t="shared" si="6"/>
        <v>J</v>
      </c>
      <c r="C179" s="74" t="b">
        <f t="shared" si="7"/>
        <v>0</v>
      </c>
      <c r="D179" s="84">
        <v>1</v>
      </c>
      <c r="E179" s="84" t="s">
        <v>176</v>
      </c>
      <c r="F179" s="85" t="s">
        <v>825</v>
      </c>
      <c r="G179" s="84" t="s">
        <v>826</v>
      </c>
      <c r="H179" s="85" t="s">
        <v>825</v>
      </c>
      <c r="I179" s="85" t="s">
        <v>827</v>
      </c>
      <c r="J179" s="69"/>
      <c r="K179" s="86" t="s">
        <v>967</v>
      </c>
    </row>
    <row r="180" spans="1:11">
      <c r="A180" s="72" t="s">
        <v>523</v>
      </c>
      <c r="B180" s="73" t="str">
        <f t="shared" si="6"/>
        <v>J</v>
      </c>
      <c r="C180" s="74" t="b">
        <f t="shared" si="7"/>
        <v>1</v>
      </c>
      <c r="D180" s="84">
        <v>1</v>
      </c>
      <c r="E180" s="84" t="s">
        <v>180</v>
      </c>
      <c r="F180" s="85" t="s">
        <v>828</v>
      </c>
      <c r="G180" s="84" t="s">
        <v>814</v>
      </c>
      <c r="H180" s="85" t="s">
        <v>828</v>
      </c>
      <c r="I180" s="85" t="s">
        <v>812</v>
      </c>
      <c r="J180" s="69"/>
      <c r="K180" s="86"/>
    </row>
    <row r="181" spans="1:11">
      <c r="A181" s="72" t="s">
        <v>524</v>
      </c>
      <c r="B181" s="73" t="str">
        <f t="shared" si="6"/>
        <v>J</v>
      </c>
      <c r="C181" s="74" t="b">
        <f t="shared" si="7"/>
        <v>0</v>
      </c>
      <c r="D181" s="84">
        <v>2</v>
      </c>
      <c r="E181" s="84" t="s">
        <v>144</v>
      </c>
      <c r="F181" s="85" t="s">
        <v>173</v>
      </c>
      <c r="G181" s="84" t="s">
        <v>174</v>
      </c>
      <c r="H181" s="85" t="s">
        <v>829</v>
      </c>
      <c r="I181" s="85" t="s">
        <v>812</v>
      </c>
      <c r="J181" s="69"/>
      <c r="K181" s="86"/>
    </row>
    <row r="182" spans="1:11">
      <c r="A182" s="72" t="s">
        <v>525</v>
      </c>
      <c r="B182" s="73" t="str">
        <f t="shared" si="6"/>
        <v>J</v>
      </c>
      <c r="C182" s="74" t="b">
        <f t="shared" si="7"/>
        <v>0</v>
      </c>
      <c r="D182" s="84"/>
      <c r="E182" s="84" t="s">
        <v>188</v>
      </c>
      <c r="F182" s="85" t="s">
        <v>173</v>
      </c>
      <c r="G182" s="84" t="s">
        <v>174</v>
      </c>
      <c r="H182" s="85" t="s">
        <v>829</v>
      </c>
      <c r="I182" s="85" t="s">
        <v>812</v>
      </c>
      <c r="J182" s="69"/>
      <c r="K182" s="86"/>
    </row>
    <row r="183" spans="1:11">
      <c r="A183" s="72" t="s">
        <v>526</v>
      </c>
      <c r="B183" s="73" t="str">
        <f t="shared" si="6"/>
        <v>J</v>
      </c>
      <c r="C183" s="74" t="b">
        <f t="shared" si="7"/>
        <v>1</v>
      </c>
      <c r="D183" s="84">
        <v>1</v>
      </c>
      <c r="E183" s="84" t="s">
        <v>187</v>
      </c>
      <c r="F183" s="85" t="s">
        <v>664</v>
      </c>
      <c r="G183" s="84" t="s">
        <v>665</v>
      </c>
      <c r="H183" s="85" t="s">
        <v>664</v>
      </c>
      <c r="I183" s="85" t="s">
        <v>812</v>
      </c>
      <c r="J183" s="69"/>
      <c r="K183" s="86"/>
    </row>
    <row r="184" spans="1:11">
      <c r="A184" s="72" t="s">
        <v>527</v>
      </c>
      <c r="B184" s="73" t="str">
        <f t="shared" si="6"/>
        <v>J</v>
      </c>
      <c r="C184" s="74" t="b">
        <f t="shared" si="7"/>
        <v>0</v>
      </c>
      <c r="D184" s="84">
        <v>5</v>
      </c>
      <c r="E184" s="84" t="s">
        <v>189</v>
      </c>
      <c r="F184" s="85" t="s">
        <v>830</v>
      </c>
      <c r="G184" s="84" t="s">
        <v>1087</v>
      </c>
      <c r="H184" s="85" t="s">
        <v>830</v>
      </c>
      <c r="I184" s="85" t="s">
        <v>812</v>
      </c>
      <c r="J184" s="69"/>
      <c r="K184" s="86"/>
    </row>
    <row r="185" spans="1:11">
      <c r="A185" s="72" t="s">
        <v>528</v>
      </c>
      <c r="B185" s="73" t="str">
        <f t="shared" si="6"/>
        <v>J</v>
      </c>
      <c r="C185" s="74" t="b">
        <f t="shared" si="7"/>
        <v>0</v>
      </c>
      <c r="D185" s="84"/>
      <c r="E185" s="84" t="s">
        <v>190</v>
      </c>
      <c r="F185" s="85" t="s">
        <v>830</v>
      </c>
      <c r="G185" s="84" t="s">
        <v>1087</v>
      </c>
      <c r="H185" s="85" t="s">
        <v>830</v>
      </c>
      <c r="I185" s="85" t="s">
        <v>812</v>
      </c>
      <c r="J185" s="69"/>
      <c r="K185" s="86"/>
    </row>
    <row r="186" spans="1:11">
      <c r="A186" s="72" t="s">
        <v>529</v>
      </c>
      <c r="B186" s="73" t="str">
        <f t="shared" si="6"/>
        <v>J</v>
      </c>
      <c r="C186" s="74" t="b">
        <f t="shared" si="7"/>
        <v>0</v>
      </c>
      <c r="D186" s="84"/>
      <c r="E186" s="84" t="s">
        <v>191</v>
      </c>
      <c r="F186" s="85" t="s">
        <v>830</v>
      </c>
      <c r="G186" s="84" t="s">
        <v>1087</v>
      </c>
      <c r="H186" s="85" t="s">
        <v>830</v>
      </c>
      <c r="I186" s="85" t="s">
        <v>812</v>
      </c>
      <c r="J186" s="69"/>
      <c r="K186" s="86"/>
    </row>
    <row r="187" spans="1:11">
      <c r="A187" s="72" t="s">
        <v>530</v>
      </c>
      <c r="B187" s="73" t="str">
        <f t="shared" si="6"/>
        <v>J</v>
      </c>
      <c r="C187" s="74" t="b">
        <f t="shared" si="7"/>
        <v>0</v>
      </c>
      <c r="D187" s="84"/>
      <c r="E187" s="84" t="s">
        <v>831</v>
      </c>
      <c r="F187" s="85" t="s">
        <v>830</v>
      </c>
      <c r="G187" s="84" t="s">
        <v>1087</v>
      </c>
      <c r="H187" s="85" t="s">
        <v>830</v>
      </c>
      <c r="I187" s="85" t="s">
        <v>812</v>
      </c>
      <c r="J187" s="69"/>
      <c r="K187" s="86"/>
    </row>
    <row r="188" spans="1:11">
      <c r="A188" s="72" t="s">
        <v>531</v>
      </c>
      <c r="B188" s="73" t="str">
        <f t="shared" si="6"/>
        <v>J</v>
      </c>
      <c r="C188" s="74" t="b">
        <f t="shared" si="7"/>
        <v>0</v>
      </c>
      <c r="D188" s="84"/>
      <c r="E188" s="84" t="s">
        <v>832</v>
      </c>
      <c r="F188" s="85" t="s">
        <v>830</v>
      </c>
      <c r="G188" s="84" t="s">
        <v>1087</v>
      </c>
      <c r="H188" s="85" t="s">
        <v>830</v>
      </c>
      <c r="I188" s="85" t="s">
        <v>812</v>
      </c>
      <c r="J188" s="69"/>
      <c r="K188" s="86"/>
    </row>
    <row r="189" spans="1:11">
      <c r="A189" s="72" t="s">
        <v>532</v>
      </c>
      <c r="B189" s="73" t="str">
        <f t="shared" si="6"/>
        <v>J</v>
      </c>
      <c r="C189" s="74" t="b">
        <f t="shared" si="7"/>
        <v>1</v>
      </c>
      <c r="D189" s="84">
        <v>2</v>
      </c>
      <c r="E189" s="84" t="s">
        <v>833</v>
      </c>
      <c r="F189" s="85">
        <v>55503</v>
      </c>
      <c r="G189" s="84" t="s">
        <v>834</v>
      </c>
      <c r="H189" s="85">
        <v>55503</v>
      </c>
      <c r="I189" s="85" t="s">
        <v>812</v>
      </c>
      <c r="J189" s="69"/>
      <c r="K189" s="86"/>
    </row>
    <row r="190" spans="1:11">
      <c r="A190" s="72" t="s">
        <v>533</v>
      </c>
      <c r="B190" s="73" t="str">
        <f t="shared" si="6"/>
        <v>J</v>
      </c>
      <c r="C190" s="74" t="b">
        <f t="shared" si="7"/>
        <v>1</v>
      </c>
      <c r="D190" s="84"/>
      <c r="E190" s="84" t="s">
        <v>835</v>
      </c>
      <c r="F190" s="85">
        <v>55503</v>
      </c>
      <c r="G190" s="84" t="s">
        <v>834</v>
      </c>
      <c r="H190" s="85">
        <v>55503</v>
      </c>
      <c r="I190" s="85" t="s">
        <v>812</v>
      </c>
      <c r="J190" s="69"/>
      <c r="K190" s="86"/>
    </row>
    <row r="191" spans="1:11">
      <c r="A191" s="72" t="s">
        <v>534</v>
      </c>
      <c r="B191" s="73" t="str">
        <f t="shared" si="6"/>
        <v>L</v>
      </c>
      <c r="C191" s="74" t="b">
        <f t="shared" si="7"/>
        <v>0</v>
      </c>
      <c r="D191" s="84">
        <v>5</v>
      </c>
      <c r="E191" s="84" t="s">
        <v>192</v>
      </c>
      <c r="F191" s="85" t="s">
        <v>836</v>
      </c>
      <c r="G191" s="84" t="s">
        <v>193</v>
      </c>
      <c r="H191" s="85" t="s">
        <v>837</v>
      </c>
      <c r="I191" s="85" t="s">
        <v>53</v>
      </c>
      <c r="J191" s="69"/>
      <c r="K191" s="86"/>
    </row>
    <row r="192" spans="1:11">
      <c r="A192" s="72" t="s">
        <v>535</v>
      </c>
      <c r="B192" s="73" t="str">
        <f t="shared" si="6"/>
        <v>L</v>
      </c>
      <c r="C192" s="74" t="b">
        <f t="shared" si="7"/>
        <v>0</v>
      </c>
      <c r="D192" s="84"/>
      <c r="E192" s="84" t="s">
        <v>195</v>
      </c>
      <c r="F192" s="85" t="s">
        <v>836</v>
      </c>
      <c r="G192" s="84" t="s">
        <v>193</v>
      </c>
      <c r="H192" s="85" t="s">
        <v>837</v>
      </c>
      <c r="I192" s="85" t="s">
        <v>53</v>
      </c>
      <c r="J192" s="69"/>
      <c r="K192" s="86"/>
    </row>
    <row r="193" spans="1:11">
      <c r="A193" s="72" t="s">
        <v>536</v>
      </c>
      <c r="B193" s="73" t="str">
        <f t="shared" si="6"/>
        <v>L</v>
      </c>
      <c r="C193" s="74" t="b">
        <f t="shared" si="7"/>
        <v>0</v>
      </c>
      <c r="D193" s="84"/>
      <c r="E193" s="84" t="s">
        <v>838</v>
      </c>
      <c r="F193" s="85" t="s">
        <v>836</v>
      </c>
      <c r="G193" s="84" t="s">
        <v>193</v>
      </c>
      <c r="H193" s="85" t="s">
        <v>837</v>
      </c>
      <c r="I193" s="85" t="s">
        <v>53</v>
      </c>
      <c r="J193" s="69"/>
      <c r="K193" s="86"/>
    </row>
    <row r="194" spans="1:11">
      <c r="A194" s="72" t="s">
        <v>537</v>
      </c>
      <c r="B194" s="73" t="str">
        <f t="shared" si="6"/>
        <v>L</v>
      </c>
      <c r="C194" s="74" t="b">
        <f t="shared" si="7"/>
        <v>0</v>
      </c>
      <c r="D194" s="84"/>
      <c r="E194" s="84" t="s">
        <v>839</v>
      </c>
      <c r="F194" s="85" t="s">
        <v>836</v>
      </c>
      <c r="G194" s="84" t="s">
        <v>193</v>
      </c>
      <c r="H194" s="85" t="s">
        <v>837</v>
      </c>
      <c r="I194" s="85" t="s">
        <v>53</v>
      </c>
      <c r="J194" s="69"/>
      <c r="K194" s="86"/>
    </row>
    <row r="195" spans="1:11">
      <c r="A195" s="72" t="s">
        <v>538</v>
      </c>
      <c r="B195" s="73" t="str">
        <f t="shared" si="6"/>
        <v>L</v>
      </c>
      <c r="C195" s="74" t="b">
        <f t="shared" si="7"/>
        <v>0</v>
      </c>
      <c r="D195" s="84"/>
      <c r="E195" s="84" t="s">
        <v>840</v>
      </c>
      <c r="F195" s="85" t="s">
        <v>836</v>
      </c>
      <c r="G195" s="84" t="s">
        <v>193</v>
      </c>
      <c r="H195" s="85" t="s">
        <v>837</v>
      </c>
      <c r="I195" s="85" t="s">
        <v>53</v>
      </c>
      <c r="J195" s="69"/>
      <c r="K195" s="86"/>
    </row>
    <row r="196" spans="1:11">
      <c r="A196" s="72" t="s">
        <v>539</v>
      </c>
      <c r="B196" s="73" t="str">
        <f t="shared" si="6"/>
        <v>MN</v>
      </c>
      <c r="C196" s="74" t="b">
        <f t="shared" si="7"/>
        <v>1</v>
      </c>
      <c r="D196" s="84">
        <v>1</v>
      </c>
      <c r="E196" s="84" t="s">
        <v>203</v>
      </c>
      <c r="F196" s="85" t="s">
        <v>200</v>
      </c>
      <c r="G196" s="84" t="s">
        <v>201</v>
      </c>
      <c r="H196" s="85" t="s">
        <v>200</v>
      </c>
      <c r="I196" s="85" t="s">
        <v>202</v>
      </c>
      <c r="J196" s="69"/>
      <c r="K196" s="86"/>
    </row>
    <row r="197" spans="1:11">
      <c r="A197" s="72" t="s">
        <v>540</v>
      </c>
      <c r="B197" s="73" t="str">
        <f t="shared" si="6"/>
        <v>MN</v>
      </c>
      <c r="C197" s="74" t="b">
        <f t="shared" si="7"/>
        <v>0</v>
      </c>
      <c r="D197" s="84">
        <v>1</v>
      </c>
      <c r="E197" s="84" t="s">
        <v>205</v>
      </c>
      <c r="F197" s="85" t="s">
        <v>216</v>
      </c>
      <c r="G197" s="84" t="s">
        <v>673</v>
      </c>
      <c r="H197" s="85" t="s">
        <v>216</v>
      </c>
      <c r="I197" s="85" t="s">
        <v>194</v>
      </c>
      <c r="J197" s="69"/>
      <c r="K197" s="86"/>
    </row>
    <row r="198" spans="1:11">
      <c r="A198" s="72" t="s">
        <v>541</v>
      </c>
      <c r="B198" s="73" t="str">
        <f t="shared" si="6"/>
        <v>MN</v>
      </c>
      <c r="C198" s="74" t="b">
        <f t="shared" si="7"/>
        <v>1</v>
      </c>
      <c r="D198" s="84">
        <v>1</v>
      </c>
      <c r="E198" s="84" t="s">
        <v>210</v>
      </c>
      <c r="F198" s="85" t="s">
        <v>674</v>
      </c>
      <c r="G198" s="84" t="s">
        <v>197</v>
      </c>
      <c r="H198" s="85" t="s">
        <v>674</v>
      </c>
      <c r="I198" s="85" t="s">
        <v>198</v>
      </c>
      <c r="J198" s="69"/>
      <c r="K198" s="86" t="s">
        <v>968</v>
      </c>
    </row>
    <row r="199" spans="1:11">
      <c r="A199" s="72" t="s">
        <v>542</v>
      </c>
      <c r="B199" s="73" t="str">
        <f t="shared" si="6"/>
        <v>MN</v>
      </c>
      <c r="C199" s="74" t="b">
        <f t="shared" si="7"/>
        <v>0</v>
      </c>
      <c r="D199" s="84">
        <v>1</v>
      </c>
      <c r="E199" s="84" t="s">
        <v>207</v>
      </c>
      <c r="F199" s="85" t="s">
        <v>1088</v>
      </c>
      <c r="G199" s="84" t="s">
        <v>841</v>
      </c>
      <c r="H199" s="85" t="s">
        <v>1088</v>
      </c>
      <c r="I199" s="85" t="s">
        <v>842</v>
      </c>
      <c r="J199" s="69"/>
      <c r="K199" s="86" t="s">
        <v>969</v>
      </c>
    </row>
    <row r="200" spans="1:11">
      <c r="A200" s="72" t="s">
        <v>543</v>
      </c>
      <c r="B200" s="73" t="str">
        <f t="shared" si="6"/>
        <v>MN</v>
      </c>
      <c r="C200" s="74" t="b">
        <f t="shared" si="7"/>
        <v>1</v>
      </c>
      <c r="D200" s="84">
        <v>1</v>
      </c>
      <c r="E200" s="84" t="s">
        <v>224</v>
      </c>
      <c r="F200" s="85" t="s">
        <v>843</v>
      </c>
      <c r="G200" s="84" t="s">
        <v>844</v>
      </c>
      <c r="H200" s="85" t="s">
        <v>843</v>
      </c>
      <c r="I200" s="85" t="s">
        <v>204</v>
      </c>
      <c r="J200" s="69"/>
      <c r="K200" s="86" t="s">
        <v>970</v>
      </c>
    </row>
    <row r="201" spans="1:11">
      <c r="A201" s="72" t="s">
        <v>544</v>
      </c>
      <c r="B201" s="73" t="str">
        <f t="shared" si="6"/>
        <v>MN</v>
      </c>
      <c r="C201" s="74" t="b">
        <f t="shared" si="7"/>
        <v>0</v>
      </c>
      <c r="D201" s="84">
        <v>1</v>
      </c>
      <c r="E201" s="84" t="s">
        <v>222</v>
      </c>
      <c r="F201" s="85" t="s">
        <v>1089</v>
      </c>
      <c r="G201" s="84" t="s">
        <v>845</v>
      </c>
      <c r="H201" s="85" t="s">
        <v>1089</v>
      </c>
      <c r="I201" s="85" t="s">
        <v>206</v>
      </c>
      <c r="J201" s="69"/>
      <c r="K201" s="86" t="s">
        <v>971</v>
      </c>
    </row>
    <row r="202" spans="1:11">
      <c r="A202" s="72" t="s">
        <v>545</v>
      </c>
      <c r="B202" s="73" t="str">
        <f t="shared" si="6"/>
        <v>MN</v>
      </c>
      <c r="C202" s="74" t="b">
        <f t="shared" si="7"/>
        <v>1</v>
      </c>
      <c r="D202" s="84">
        <v>1</v>
      </c>
      <c r="E202" s="84" t="s">
        <v>223</v>
      </c>
      <c r="F202" s="85" t="s">
        <v>1090</v>
      </c>
      <c r="G202" s="84" t="s">
        <v>667</v>
      </c>
      <c r="H202" s="85" t="s">
        <v>1090</v>
      </c>
      <c r="I202" s="85" t="s">
        <v>206</v>
      </c>
      <c r="J202" s="69" t="s">
        <v>1060</v>
      </c>
      <c r="K202" s="86" t="s">
        <v>972</v>
      </c>
    </row>
    <row r="203" spans="1:11">
      <c r="A203" s="72" t="s">
        <v>546</v>
      </c>
      <c r="B203" s="73" t="str">
        <f t="shared" si="6"/>
        <v>MN</v>
      </c>
      <c r="C203" s="74" t="b">
        <f t="shared" si="7"/>
        <v>0</v>
      </c>
      <c r="D203" s="84">
        <v>1</v>
      </c>
      <c r="E203" s="84" t="s">
        <v>211</v>
      </c>
      <c r="F203" s="85" t="s">
        <v>225</v>
      </c>
      <c r="G203" s="84" t="s">
        <v>226</v>
      </c>
      <c r="H203" s="85" t="s">
        <v>225</v>
      </c>
      <c r="I203" s="85" t="s">
        <v>214</v>
      </c>
      <c r="J203" s="69" t="s">
        <v>1060</v>
      </c>
      <c r="K203" s="86" t="s">
        <v>973</v>
      </c>
    </row>
    <row r="204" spans="1:11">
      <c r="A204" s="72" t="s">
        <v>547</v>
      </c>
      <c r="B204" s="73" t="str">
        <f t="shared" si="6"/>
        <v>MN</v>
      </c>
      <c r="C204" s="74" t="b">
        <f t="shared" si="7"/>
        <v>1</v>
      </c>
      <c r="D204" s="84">
        <v>1</v>
      </c>
      <c r="E204" s="84" t="s">
        <v>212</v>
      </c>
      <c r="F204" s="85" t="s">
        <v>846</v>
      </c>
      <c r="G204" s="84" t="s">
        <v>208</v>
      </c>
      <c r="H204" s="85" t="s">
        <v>846</v>
      </c>
      <c r="I204" s="85" t="s">
        <v>209</v>
      </c>
      <c r="J204" s="69" t="s">
        <v>1060</v>
      </c>
      <c r="K204" s="86" t="s">
        <v>974</v>
      </c>
    </row>
    <row r="205" spans="1:11">
      <c r="A205" s="72" t="s">
        <v>548</v>
      </c>
      <c r="B205" s="73" t="str">
        <f t="shared" si="6"/>
        <v>MN</v>
      </c>
      <c r="C205" s="74" t="b">
        <f t="shared" si="7"/>
        <v>0</v>
      </c>
      <c r="D205" s="84">
        <v>1</v>
      </c>
      <c r="E205" s="84" t="s">
        <v>213</v>
      </c>
      <c r="F205" s="85" t="s">
        <v>847</v>
      </c>
      <c r="G205" s="84" t="s">
        <v>848</v>
      </c>
      <c r="H205" s="85" t="s">
        <v>847</v>
      </c>
      <c r="I205" s="85" t="s">
        <v>849</v>
      </c>
      <c r="J205" s="69" t="s">
        <v>1060</v>
      </c>
      <c r="K205" s="86" t="s">
        <v>975</v>
      </c>
    </row>
    <row r="206" spans="1:11">
      <c r="A206" s="72" t="s">
        <v>549</v>
      </c>
      <c r="B206" s="73" t="str">
        <f t="shared" si="6"/>
        <v>MN</v>
      </c>
      <c r="C206" s="74" t="b">
        <f t="shared" si="7"/>
        <v>1</v>
      </c>
      <c r="D206" s="84">
        <v>1</v>
      </c>
      <c r="E206" s="84" t="s">
        <v>196</v>
      </c>
      <c r="F206" s="85" t="s">
        <v>1091</v>
      </c>
      <c r="G206" s="84" t="s">
        <v>850</v>
      </c>
      <c r="H206" s="85" t="s">
        <v>1091</v>
      </c>
      <c r="I206" s="85" t="s">
        <v>204</v>
      </c>
      <c r="J206" s="69" t="s">
        <v>1060</v>
      </c>
      <c r="K206" s="86" t="s">
        <v>969</v>
      </c>
    </row>
    <row r="207" spans="1:11">
      <c r="A207" s="72" t="s">
        <v>550</v>
      </c>
      <c r="B207" s="73" t="str">
        <f t="shared" si="6"/>
        <v>MN</v>
      </c>
      <c r="C207" s="74" t="b">
        <f t="shared" si="7"/>
        <v>0</v>
      </c>
      <c r="D207" s="84">
        <v>1</v>
      </c>
      <c r="E207" s="84" t="s">
        <v>199</v>
      </c>
      <c r="F207" s="85" t="s">
        <v>851</v>
      </c>
      <c r="G207" s="84" t="s">
        <v>852</v>
      </c>
      <c r="H207" s="85" t="s">
        <v>851</v>
      </c>
      <c r="I207" s="85" t="s">
        <v>853</v>
      </c>
      <c r="J207" s="69" t="s">
        <v>1060</v>
      </c>
      <c r="K207" s="86" t="s">
        <v>976</v>
      </c>
    </row>
    <row r="208" spans="1:11">
      <c r="A208" s="72" t="s">
        <v>551</v>
      </c>
      <c r="B208" s="73" t="str">
        <f t="shared" si="6"/>
        <v>MN</v>
      </c>
      <c r="C208" s="74" t="b">
        <f t="shared" si="7"/>
        <v>1</v>
      </c>
      <c r="D208" s="84">
        <v>1</v>
      </c>
      <c r="E208" s="84" t="s">
        <v>215</v>
      </c>
      <c r="F208" s="85" t="s">
        <v>219</v>
      </c>
      <c r="G208" s="84" t="s">
        <v>220</v>
      </c>
      <c r="H208" s="85" t="s">
        <v>219</v>
      </c>
      <c r="I208" s="85" t="s">
        <v>221</v>
      </c>
      <c r="J208" s="69" t="s">
        <v>1060</v>
      </c>
      <c r="K208" s="86" t="s">
        <v>977</v>
      </c>
    </row>
    <row r="209" spans="1:11">
      <c r="A209" s="72" t="s">
        <v>552</v>
      </c>
      <c r="B209" s="73" t="str">
        <f t="shared" si="6"/>
        <v>MN</v>
      </c>
      <c r="C209" s="74" t="b">
        <f t="shared" si="7"/>
        <v>0</v>
      </c>
      <c r="D209" s="84">
        <v>1</v>
      </c>
      <c r="E209" s="84" t="s">
        <v>854</v>
      </c>
      <c r="F209" s="85" t="s">
        <v>668</v>
      </c>
      <c r="G209" s="84" t="s">
        <v>669</v>
      </c>
      <c r="H209" s="85" t="s">
        <v>668</v>
      </c>
      <c r="I209" s="85" t="s">
        <v>670</v>
      </c>
      <c r="J209" s="69" t="s">
        <v>1060</v>
      </c>
      <c r="K209" s="86" t="s">
        <v>978</v>
      </c>
    </row>
    <row r="210" spans="1:11">
      <c r="A210" s="72" t="s">
        <v>553</v>
      </c>
      <c r="B210" s="73" t="str">
        <f t="shared" si="6"/>
        <v>MN</v>
      </c>
      <c r="C210" s="74" t="b">
        <f t="shared" si="7"/>
        <v>1</v>
      </c>
      <c r="D210" s="84">
        <v>1</v>
      </c>
      <c r="E210" s="84" t="s">
        <v>855</v>
      </c>
      <c r="F210" s="85" t="s">
        <v>671</v>
      </c>
      <c r="G210" s="84" t="s">
        <v>672</v>
      </c>
      <c r="H210" s="85" t="s">
        <v>671</v>
      </c>
      <c r="I210" s="85" t="s">
        <v>670</v>
      </c>
      <c r="J210" s="69" t="s">
        <v>1060</v>
      </c>
      <c r="K210" s="86" t="s">
        <v>979</v>
      </c>
    </row>
    <row r="211" spans="1:11">
      <c r="A211" s="72" t="s">
        <v>554</v>
      </c>
      <c r="B211" s="73" t="str">
        <f t="shared" si="6"/>
        <v>MN</v>
      </c>
      <c r="C211" s="74" t="b">
        <f t="shared" si="7"/>
        <v>0</v>
      </c>
      <c r="D211" s="84">
        <v>2</v>
      </c>
      <c r="E211" s="84" t="s">
        <v>856</v>
      </c>
      <c r="F211" s="85" t="s">
        <v>857</v>
      </c>
      <c r="G211" s="84" t="s">
        <v>858</v>
      </c>
      <c r="H211" s="85" t="s">
        <v>859</v>
      </c>
      <c r="I211" s="85" t="s">
        <v>214</v>
      </c>
      <c r="J211" s="69" t="s">
        <v>1060</v>
      </c>
      <c r="K211" s="86" t="s">
        <v>969</v>
      </c>
    </row>
    <row r="212" spans="1:11">
      <c r="A212" s="72" t="s">
        <v>555</v>
      </c>
      <c r="B212" s="73" t="str">
        <f t="shared" si="6"/>
        <v>MN</v>
      </c>
      <c r="C212" s="74" t="b">
        <f t="shared" si="7"/>
        <v>0</v>
      </c>
      <c r="D212" s="84"/>
      <c r="E212" s="84" t="s">
        <v>860</v>
      </c>
      <c r="F212" s="85" t="s">
        <v>857</v>
      </c>
      <c r="G212" s="84" t="s">
        <v>858</v>
      </c>
      <c r="H212" s="85" t="s">
        <v>859</v>
      </c>
      <c r="I212" s="85" t="s">
        <v>214</v>
      </c>
      <c r="J212" s="69" t="s">
        <v>1060</v>
      </c>
      <c r="K212" s="86" t="s">
        <v>969</v>
      </c>
    </row>
    <row r="213" spans="1:11">
      <c r="A213" s="72" t="s">
        <v>556</v>
      </c>
      <c r="B213" s="73" t="str">
        <f t="shared" ref="B213:B276" si="8">IF(AND(MID(E213,2,1)&gt;="A",MID(E213,2,1)&lt;="Z"),LEFT(E213,2),LEFT(E213,1))</f>
        <v>MN</v>
      </c>
      <c r="C213" s="74" t="b">
        <f t="shared" ref="C213:C276" si="9">IF(D213&lt;&gt;"",NOT(C212),C212)</f>
        <v>1</v>
      </c>
      <c r="D213" s="84">
        <v>1</v>
      </c>
      <c r="E213" s="84" t="s">
        <v>1092</v>
      </c>
      <c r="F213" s="85" t="s">
        <v>1093</v>
      </c>
      <c r="G213" s="84" t="s">
        <v>1094</v>
      </c>
      <c r="H213" s="85" t="s">
        <v>1093</v>
      </c>
      <c r="I213" s="85" t="s">
        <v>1095</v>
      </c>
      <c r="J213" s="69" t="s">
        <v>1060</v>
      </c>
      <c r="K213" s="86" t="s">
        <v>1105</v>
      </c>
    </row>
    <row r="214" spans="1:11">
      <c r="A214" s="72" t="s">
        <v>557</v>
      </c>
      <c r="B214" s="73" t="str">
        <f t="shared" si="8"/>
        <v>Q</v>
      </c>
      <c r="C214" s="74" t="b">
        <f t="shared" si="9"/>
        <v>0</v>
      </c>
      <c r="D214" s="84">
        <v>1</v>
      </c>
      <c r="E214" s="84" t="s">
        <v>227</v>
      </c>
      <c r="F214" s="85" t="s">
        <v>861</v>
      </c>
      <c r="G214" s="84" t="s">
        <v>862</v>
      </c>
      <c r="H214" s="85" t="s">
        <v>861</v>
      </c>
      <c r="I214" s="85" t="s">
        <v>228</v>
      </c>
      <c r="J214" s="69" t="s">
        <v>1060</v>
      </c>
      <c r="K214" s="86" t="s">
        <v>964</v>
      </c>
    </row>
    <row r="215" spans="1:11">
      <c r="A215" s="72" t="s">
        <v>558</v>
      </c>
      <c r="B215" s="73" t="str">
        <f t="shared" si="8"/>
        <v>Q</v>
      </c>
      <c r="C215" s="74" t="b">
        <f t="shared" si="9"/>
        <v>1</v>
      </c>
      <c r="D215" s="84">
        <v>2</v>
      </c>
      <c r="E215" s="84" t="s">
        <v>863</v>
      </c>
      <c r="F215" s="85" t="s">
        <v>229</v>
      </c>
      <c r="G215" s="84" t="s">
        <v>230</v>
      </c>
      <c r="H215" s="85" t="s">
        <v>229</v>
      </c>
      <c r="I215" s="85" t="s">
        <v>228</v>
      </c>
      <c r="J215" s="69" t="s">
        <v>1060</v>
      </c>
      <c r="K215" s="86" t="s">
        <v>964</v>
      </c>
    </row>
    <row r="216" spans="1:11">
      <c r="A216" s="72" t="s">
        <v>559</v>
      </c>
      <c r="B216" s="73" t="str">
        <f t="shared" si="8"/>
        <v>Q</v>
      </c>
      <c r="C216" s="74" t="b">
        <f t="shared" si="9"/>
        <v>1</v>
      </c>
      <c r="D216" s="84"/>
      <c r="E216" s="84" t="s">
        <v>864</v>
      </c>
      <c r="F216" s="85" t="s">
        <v>229</v>
      </c>
      <c r="G216" s="84" t="s">
        <v>230</v>
      </c>
      <c r="H216" s="85" t="s">
        <v>229</v>
      </c>
      <c r="I216" s="85" t="s">
        <v>228</v>
      </c>
      <c r="J216" s="69" t="s">
        <v>1060</v>
      </c>
      <c r="K216" s="86" t="s">
        <v>964</v>
      </c>
    </row>
    <row r="217" spans="1:11">
      <c r="A217" s="72" t="s">
        <v>560</v>
      </c>
      <c r="B217" s="73" t="str">
        <f t="shared" si="8"/>
        <v>RR</v>
      </c>
      <c r="C217" s="74" t="b">
        <f t="shared" si="9"/>
        <v>0</v>
      </c>
      <c r="D217" s="84">
        <v>3</v>
      </c>
      <c r="E217" s="84" t="s">
        <v>865</v>
      </c>
      <c r="F217" s="85" t="s">
        <v>675</v>
      </c>
      <c r="G217" s="84" t="s">
        <v>353</v>
      </c>
      <c r="H217" s="85" t="s">
        <v>866</v>
      </c>
      <c r="I217" s="85" t="s">
        <v>232</v>
      </c>
      <c r="J217" s="69"/>
      <c r="K217" s="86" t="s">
        <v>980</v>
      </c>
    </row>
    <row r="218" spans="1:11">
      <c r="A218" s="72" t="s">
        <v>561</v>
      </c>
      <c r="B218" s="73" t="str">
        <f t="shared" si="8"/>
        <v>RR</v>
      </c>
      <c r="C218" s="74" t="b">
        <f t="shared" si="9"/>
        <v>0</v>
      </c>
      <c r="D218" s="84"/>
      <c r="E218" s="84" t="s">
        <v>867</v>
      </c>
      <c r="F218" s="85" t="s">
        <v>675</v>
      </c>
      <c r="G218" s="84" t="s">
        <v>353</v>
      </c>
      <c r="H218" s="85" t="s">
        <v>866</v>
      </c>
      <c r="I218" s="85" t="s">
        <v>232</v>
      </c>
      <c r="J218" s="69"/>
      <c r="K218" s="86" t="s">
        <v>980</v>
      </c>
    </row>
    <row r="219" spans="1:11">
      <c r="A219" s="72" t="s">
        <v>562</v>
      </c>
      <c r="B219" s="73" t="str">
        <f t="shared" si="8"/>
        <v>RR</v>
      </c>
      <c r="C219" s="74" t="b">
        <f t="shared" si="9"/>
        <v>0</v>
      </c>
      <c r="D219" s="84"/>
      <c r="E219" s="84" t="s">
        <v>868</v>
      </c>
      <c r="F219" s="85" t="s">
        <v>675</v>
      </c>
      <c r="G219" s="84" t="s">
        <v>353</v>
      </c>
      <c r="H219" s="85" t="s">
        <v>866</v>
      </c>
      <c r="I219" s="85" t="s">
        <v>232</v>
      </c>
      <c r="J219" s="69"/>
      <c r="K219" s="86" t="s">
        <v>980</v>
      </c>
    </row>
    <row r="220" spans="1:11">
      <c r="A220" s="72" t="s">
        <v>563</v>
      </c>
      <c r="B220" s="73" t="str">
        <f t="shared" si="8"/>
        <v>RR</v>
      </c>
      <c r="C220" s="74" t="b">
        <f t="shared" si="9"/>
        <v>1</v>
      </c>
      <c r="D220" s="84">
        <v>4</v>
      </c>
      <c r="E220" s="84" t="s">
        <v>869</v>
      </c>
      <c r="F220" s="85" t="s">
        <v>870</v>
      </c>
      <c r="G220" s="84" t="s">
        <v>353</v>
      </c>
      <c r="H220" s="85" t="s">
        <v>871</v>
      </c>
      <c r="I220" s="85" t="s">
        <v>232</v>
      </c>
      <c r="J220" s="69"/>
      <c r="K220" s="86" t="s">
        <v>980</v>
      </c>
    </row>
    <row r="221" spans="1:11">
      <c r="A221" s="72" t="s">
        <v>564</v>
      </c>
      <c r="B221" s="73" t="str">
        <f t="shared" si="8"/>
        <v>RR</v>
      </c>
      <c r="C221" s="74" t="b">
        <f t="shared" si="9"/>
        <v>1</v>
      </c>
      <c r="D221" s="84"/>
      <c r="E221" s="84" t="s">
        <v>872</v>
      </c>
      <c r="F221" s="85" t="s">
        <v>870</v>
      </c>
      <c r="G221" s="84" t="s">
        <v>353</v>
      </c>
      <c r="H221" s="85" t="s">
        <v>871</v>
      </c>
      <c r="I221" s="85" t="s">
        <v>232</v>
      </c>
      <c r="J221" s="69"/>
      <c r="K221" s="86" t="s">
        <v>980</v>
      </c>
    </row>
    <row r="222" spans="1:11">
      <c r="A222" s="72" t="s">
        <v>565</v>
      </c>
      <c r="B222" s="73" t="str">
        <f t="shared" si="8"/>
        <v>RR</v>
      </c>
      <c r="C222" s="74" t="b">
        <f t="shared" si="9"/>
        <v>1</v>
      </c>
      <c r="D222" s="84"/>
      <c r="E222" s="84" t="s">
        <v>873</v>
      </c>
      <c r="F222" s="85" t="s">
        <v>870</v>
      </c>
      <c r="G222" s="84" t="s">
        <v>353</v>
      </c>
      <c r="H222" s="85" t="s">
        <v>871</v>
      </c>
      <c r="I222" s="85" t="s">
        <v>232</v>
      </c>
      <c r="J222" s="69"/>
      <c r="K222" s="86" t="s">
        <v>980</v>
      </c>
    </row>
    <row r="223" spans="1:11">
      <c r="A223" s="72" t="s">
        <v>566</v>
      </c>
      <c r="B223" s="73" t="str">
        <f t="shared" si="8"/>
        <v>RR</v>
      </c>
      <c r="C223" s="74" t="b">
        <f t="shared" si="9"/>
        <v>1</v>
      </c>
      <c r="D223" s="84"/>
      <c r="E223" s="84" t="s">
        <v>874</v>
      </c>
      <c r="F223" s="85" t="s">
        <v>870</v>
      </c>
      <c r="G223" s="84" t="s">
        <v>353</v>
      </c>
      <c r="H223" s="85" t="s">
        <v>871</v>
      </c>
      <c r="I223" s="85" t="s">
        <v>232</v>
      </c>
      <c r="J223" s="69"/>
      <c r="K223" s="86" t="s">
        <v>980</v>
      </c>
    </row>
    <row r="224" spans="1:11">
      <c r="A224" s="72" t="s">
        <v>567</v>
      </c>
      <c r="B224" s="73" t="str">
        <f t="shared" si="8"/>
        <v>RV</v>
      </c>
      <c r="C224" s="74" t="b">
        <f t="shared" si="9"/>
        <v>0</v>
      </c>
      <c r="D224" s="84">
        <v>1</v>
      </c>
      <c r="E224" s="84" t="s">
        <v>676</v>
      </c>
      <c r="F224" s="85" t="s">
        <v>677</v>
      </c>
      <c r="G224" s="84" t="s">
        <v>678</v>
      </c>
      <c r="H224" s="85" t="s">
        <v>679</v>
      </c>
      <c r="I224" s="85" t="s">
        <v>680</v>
      </c>
      <c r="J224" s="69"/>
      <c r="K224" s="86" t="s">
        <v>1103</v>
      </c>
    </row>
    <row r="225" spans="1:11">
      <c r="A225" s="72" t="s">
        <v>568</v>
      </c>
      <c r="B225" s="73" t="str">
        <f t="shared" si="8"/>
        <v>R</v>
      </c>
      <c r="C225" s="74" t="b">
        <f t="shared" si="9"/>
        <v>1</v>
      </c>
      <c r="D225" s="84">
        <v>4</v>
      </c>
      <c r="E225" s="84" t="s">
        <v>231</v>
      </c>
      <c r="F225" s="85" t="s">
        <v>345</v>
      </c>
      <c r="G225" s="84" t="s">
        <v>240</v>
      </c>
      <c r="H225" s="85" t="s">
        <v>346</v>
      </c>
      <c r="I225" s="85" t="s">
        <v>232</v>
      </c>
      <c r="J225" s="69"/>
      <c r="K225" s="86" t="s">
        <v>1103</v>
      </c>
    </row>
    <row r="226" spans="1:11">
      <c r="A226" s="72" t="s">
        <v>569</v>
      </c>
      <c r="B226" s="73" t="str">
        <f t="shared" si="8"/>
        <v>R</v>
      </c>
      <c r="C226" s="74" t="b">
        <f t="shared" si="9"/>
        <v>1</v>
      </c>
      <c r="D226" s="84"/>
      <c r="E226" s="84" t="s">
        <v>320</v>
      </c>
      <c r="F226" s="85" t="s">
        <v>345</v>
      </c>
      <c r="G226" s="84" t="s">
        <v>240</v>
      </c>
      <c r="H226" s="85" t="s">
        <v>346</v>
      </c>
      <c r="I226" s="85" t="s">
        <v>232</v>
      </c>
      <c r="J226" s="69"/>
      <c r="K226" s="86" t="s">
        <v>959</v>
      </c>
    </row>
    <row r="227" spans="1:11">
      <c r="A227" s="72" t="s">
        <v>570</v>
      </c>
      <c r="B227" s="73" t="str">
        <f t="shared" si="8"/>
        <v>R</v>
      </c>
      <c r="C227" s="74" t="b">
        <f t="shared" si="9"/>
        <v>1</v>
      </c>
      <c r="D227" s="84"/>
      <c r="E227" s="84" t="s">
        <v>290</v>
      </c>
      <c r="F227" s="85" t="s">
        <v>345</v>
      </c>
      <c r="G227" s="84" t="s">
        <v>240</v>
      </c>
      <c r="H227" s="85" t="s">
        <v>346</v>
      </c>
      <c r="I227" s="85" t="s">
        <v>232</v>
      </c>
      <c r="J227" s="69"/>
      <c r="K227" s="86" t="s">
        <v>959</v>
      </c>
    </row>
    <row r="228" spans="1:11">
      <c r="A228" s="72" t="s">
        <v>571</v>
      </c>
      <c r="B228" s="73" t="str">
        <f t="shared" si="8"/>
        <v>R</v>
      </c>
      <c r="C228" s="74" t="b">
        <f t="shared" si="9"/>
        <v>1</v>
      </c>
      <c r="D228" s="84"/>
      <c r="E228" s="84" t="s">
        <v>302</v>
      </c>
      <c r="F228" s="85" t="s">
        <v>345</v>
      </c>
      <c r="G228" s="84" t="s">
        <v>240</v>
      </c>
      <c r="H228" s="85" t="s">
        <v>346</v>
      </c>
      <c r="I228" s="85" t="s">
        <v>232</v>
      </c>
      <c r="J228" s="69"/>
      <c r="K228" s="86" t="s">
        <v>959</v>
      </c>
    </row>
    <row r="229" spans="1:11">
      <c r="A229" s="72" t="s">
        <v>572</v>
      </c>
      <c r="B229" s="73" t="str">
        <f t="shared" si="8"/>
        <v>R</v>
      </c>
      <c r="C229" s="74" t="b">
        <f t="shared" si="9"/>
        <v>0</v>
      </c>
      <c r="D229" s="84">
        <v>1</v>
      </c>
      <c r="E229" s="84" t="s">
        <v>321</v>
      </c>
      <c r="F229" s="85" t="s">
        <v>875</v>
      </c>
      <c r="G229" s="84" t="s">
        <v>237</v>
      </c>
      <c r="H229" s="85" t="s">
        <v>330</v>
      </c>
      <c r="I229" s="85" t="s">
        <v>232</v>
      </c>
      <c r="J229" s="69"/>
      <c r="K229" s="86" t="s">
        <v>959</v>
      </c>
    </row>
    <row r="230" spans="1:11">
      <c r="A230" s="72" t="s">
        <v>573</v>
      </c>
      <c r="B230" s="73" t="str">
        <f t="shared" si="8"/>
        <v>R</v>
      </c>
      <c r="C230" s="74" t="b">
        <f t="shared" si="9"/>
        <v>1</v>
      </c>
      <c r="D230" s="84">
        <v>21</v>
      </c>
      <c r="E230" s="84" t="s">
        <v>684</v>
      </c>
      <c r="F230" s="85" t="s">
        <v>239</v>
      </c>
      <c r="G230" s="84" t="s">
        <v>240</v>
      </c>
      <c r="H230" s="85" t="s">
        <v>241</v>
      </c>
      <c r="I230" s="85" t="s">
        <v>232</v>
      </c>
      <c r="J230" s="69"/>
      <c r="K230" s="86" t="s">
        <v>959</v>
      </c>
    </row>
    <row r="231" spans="1:11">
      <c r="A231" s="72" t="s">
        <v>574</v>
      </c>
      <c r="B231" s="73" t="str">
        <f t="shared" si="8"/>
        <v>R</v>
      </c>
      <c r="C231" s="74" t="b">
        <f t="shared" si="9"/>
        <v>1</v>
      </c>
      <c r="D231" s="84"/>
      <c r="E231" s="84" t="s">
        <v>685</v>
      </c>
      <c r="F231" s="85" t="s">
        <v>239</v>
      </c>
      <c r="G231" s="84" t="s">
        <v>240</v>
      </c>
      <c r="H231" s="85" t="s">
        <v>241</v>
      </c>
      <c r="I231" s="85" t="s">
        <v>232</v>
      </c>
      <c r="J231" s="69"/>
      <c r="K231" s="86" t="s">
        <v>959</v>
      </c>
    </row>
    <row r="232" spans="1:11">
      <c r="A232" s="72" t="s">
        <v>575</v>
      </c>
      <c r="B232" s="73" t="str">
        <f t="shared" si="8"/>
        <v>R</v>
      </c>
      <c r="C232" s="74" t="b">
        <f t="shared" si="9"/>
        <v>1</v>
      </c>
      <c r="D232" s="84"/>
      <c r="E232" s="84" t="s">
        <v>288</v>
      </c>
      <c r="F232" s="85" t="s">
        <v>239</v>
      </c>
      <c r="G232" s="84" t="s">
        <v>240</v>
      </c>
      <c r="H232" s="85" t="s">
        <v>241</v>
      </c>
      <c r="I232" s="85" t="s">
        <v>232</v>
      </c>
      <c r="J232" s="69"/>
      <c r="K232" s="86" t="s">
        <v>959</v>
      </c>
    </row>
    <row r="233" spans="1:11">
      <c r="A233" s="72" t="s">
        <v>576</v>
      </c>
      <c r="B233" s="73" t="str">
        <f t="shared" si="8"/>
        <v>R</v>
      </c>
      <c r="C233" s="74" t="b">
        <f t="shared" si="9"/>
        <v>1</v>
      </c>
      <c r="D233" s="84"/>
      <c r="E233" s="84" t="s">
        <v>276</v>
      </c>
      <c r="F233" s="85" t="s">
        <v>239</v>
      </c>
      <c r="G233" s="84" t="s">
        <v>240</v>
      </c>
      <c r="H233" s="85" t="s">
        <v>241</v>
      </c>
      <c r="I233" s="85" t="s">
        <v>232</v>
      </c>
      <c r="J233" s="69"/>
      <c r="K233" s="86" t="s">
        <v>959</v>
      </c>
    </row>
    <row r="234" spans="1:11">
      <c r="A234" s="72" t="s">
        <v>577</v>
      </c>
      <c r="B234" s="73" t="str">
        <f t="shared" si="8"/>
        <v>R</v>
      </c>
      <c r="C234" s="74" t="b">
        <f t="shared" si="9"/>
        <v>1</v>
      </c>
      <c r="D234" s="84"/>
      <c r="E234" s="84" t="s">
        <v>233</v>
      </c>
      <c r="F234" s="85" t="s">
        <v>239</v>
      </c>
      <c r="G234" s="84" t="s">
        <v>240</v>
      </c>
      <c r="H234" s="85" t="s">
        <v>241</v>
      </c>
      <c r="I234" s="85" t="s">
        <v>232</v>
      </c>
      <c r="J234" s="69"/>
      <c r="K234" s="86" t="s">
        <v>959</v>
      </c>
    </row>
    <row r="235" spans="1:11">
      <c r="A235" s="72" t="s">
        <v>578</v>
      </c>
      <c r="B235" s="73" t="str">
        <f t="shared" si="8"/>
        <v>R</v>
      </c>
      <c r="C235" s="74" t="b">
        <f t="shared" si="9"/>
        <v>1</v>
      </c>
      <c r="D235" s="84"/>
      <c r="E235" s="84" t="s">
        <v>277</v>
      </c>
      <c r="F235" s="85" t="s">
        <v>239</v>
      </c>
      <c r="G235" s="84" t="s">
        <v>240</v>
      </c>
      <c r="H235" s="85" t="s">
        <v>241</v>
      </c>
      <c r="I235" s="85" t="s">
        <v>232</v>
      </c>
      <c r="J235" s="69"/>
      <c r="K235" s="86" t="s">
        <v>959</v>
      </c>
    </row>
    <row r="236" spans="1:11">
      <c r="A236" s="72" t="s">
        <v>579</v>
      </c>
      <c r="B236" s="73" t="str">
        <f t="shared" si="8"/>
        <v>R</v>
      </c>
      <c r="C236" s="74" t="b">
        <f t="shared" si="9"/>
        <v>1</v>
      </c>
      <c r="D236" s="84"/>
      <c r="E236" s="84" t="s">
        <v>291</v>
      </c>
      <c r="F236" s="85" t="s">
        <v>239</v>
      </c>
      <c r="G236" s="84" t="s">
        <v>240</v>
      </c>
      <c r="H236" s="85" t="s">
        <v>241</v>
      </c>
      <c r="I236" s="85" t="s">
        <v>232</v>
      </c>
      <c r="J236" s="69"/>
      <c r="K236" s="86" t="s">
        <v>959</v>
      </c>
    </row>
    <row r="237" spans="1:11">
      <c r="A237" s="72" t="s">
        <v>580</v>
      </c>
      <c r="B237" s="73" t="str">
        <f t="shared" si="8"/>
        <v>R</v>
      </c>
      <c r="C237" s="74" t="b">
        <f t="shared" si="9"/>
        <v>1</v>
      </c>
      <c r="D237" s="84"/>
      <c r="E237" s="84" t="s">
        <v>238</v>
      </c>
      <c r="F237" s="85" t="s">
        <v>239</v>
      </c>
      <c r="G237" s="84" t="s">
        <v>240</v>
      </c>
      <c r="H237" s="85" t="s">
        <v>241</v>
      </c>
      <c r="I237" s="85" t="s">
        <v>232</v>
      </c>
      <c r="J237" s="69"/>
      <c r="K237" s="86" t="s">
        <v>959</v>
      </c>
    </row>
    <row r="238" spans="1:11">
      <c r="A238" s="72" t="s">
        <v>581</v>
      </c>
      <c r="B238" s="73" t="str">
        <f t="shared" si="8"/>
        <v>R</v>
      </c>
      <c r="C238" s="74" t="b">
        <f t="shared" si="9"/>
        <v>1</v>
      </c>
      <c r="D238" s="84"/>
      <c r="E238" s="84" t="s">
        <v>242</v>
      </c>
      <c r="F238" s="85" t="s">
        <v>239</v>
      </c>
      <c r="G238" s="84" t="s">
        <v>240</v>
      </c>
      <c r="H238" s="85" t="s">
        <v>241</v>
      </c>
      <c r="I238" s="85" t="s">
        <v>232</v>
      </c>
      <c r="J238" s="69"/>
      <c r="K238" s="86" t="s">
        <v>959</v>
      </c>
    </row>
    <row r="239" spans="1:11">
      <c r="A239" s="72" t="s">
        <v>582</v>
      </c>
      <c r="B239" s="73" t="str">
        <f t="shared" si="8"/>
        <v>R</v>
      </c>
      <c r="C239" s="74" t="b">
        <f t="shared" si="9"/>
        <v>1</v>
      </c>
      <c r="D239" s="84"/>
      <c r="E239" s="84" t="s">
        <v>326</v>
      </c>
      <c r="F239" s="85" t="s">
        <v>239</v>
      </c>
      <c r="G239" s="84" t="s">
        <v>240</v>
      </c>
      <c r="H239" s="85" t="s">
        <v>241</v>
      </c>
      <c r="I239" s="85" t="s">
        <v>232</v>
      </c>
      <c r="J239" s="69"/>
      <c r="K239" s="86" t="s">
        <v>959</v>
      </c>
    </row>
    <row r="240" spans="1:11">
      <c r="A240" s="72" t="s">
        <v>583</v>
      </c>
      <c r="B240" s="73" t="str">
        <f t="shared" si="8"/>
        <v>R</v>
      </c>
      <c r="C240" s="74" t="b">
        <f t="shared" si="9"/>
        <v>1</v>
      </c>
      <c r="D240" s="84"/>
      <c r="E240" s="84" t="s">
        <v>278</v>
      </c>
      <c r="F240" s="85" t="s">
        <v>239</v>
      </c>
      <c r="G240" s="84" t="s">
        <v>240</v>
      </c>
      <c r="H240" s="85" t="s">
        <v>241</v>
      </c>
      <c r="I240" s="85" t="s">
        <v>232</v>
      </c>
      <c r="J240" s="69"/>
      <c r="K240" s="86" t="s">
        <v>959</v>
      </c>
    </row>
    <row r="241" spans="1:11">
      <c r="A241" s="72" t="s">
        <v>584</v>
      </c>
      <c r="B241" s="73" t="str">
        <f t="shared" si="8"/>
        <v>R</v>
      </c>
      <c r="C241" s="74" t="b">
        <f t="shared" si="9"/>
        <v>1</v>
      </c>
      <c r="D241" s="84"/>
      <c r="E241" s="84" t="s">
        <v>260</v>
      </c>
      <c r="F241" s="85" t="s">
        <v>239</v>
      </c>
      <c r="G241" s="84" t="s">
        <v>240</v>
      </c>
      <c r="H241" s="85" t="s">
        <v>241</v>
      </c>
      <c r="I241" s="85" t="s">
        <v>232</v>
      </c>
      <c r="J241" s="69"/>
      <c r="K241" s="86" t="s">
        <v>959</v>
      </c>
    </row>
    <row r="242" spans="1:11">
      <c r="A242" s="72" t="s">
        <v>585</v>
      </c>
      <c r="B242" s="73" t="str">
        <f t="shared" si="8"/>
        <v>R</v>
      </c>
      <c r="C242" s="74" t="b">
        <f t="shared" si="9"/>
        <v>1</v>
      </c>
      <c r="D242" s="84"/>
      <c r="E242" s="84" t="s">
        <v>331</v>
      </c>
      <c r="F242" s="85" t="s">
        <v>239</v>
      </c>
      <c r="G242" s="84" t="s">
        <v>240</v>
      </c>
      <c r="H242" s="85" t="s">
        <v>241</v>
      </c>
      <c r="I242" s="85" t="s">
        <v>232</v>
      </c>
      <c r="J242" s="69"/>
      <c r="K242" s="86" t="s">
        <v>959</v>
      </c>
    </row>
    <row r="243" spans="1:11">
      <c r="A243" s="72" t="s">
        <v>586</v>
      </c>
      <c r="B243" s="73" t="str">
        <f t="shared" si="8"/>
        <v>R</v>
      </c>
      <c r="C243" s="74" t="b">
        <f t="shared" si="9"/>
        <v>1</v>
      </c>
      <c r="D243" s="84"/>
      <c r="E243" s="84" t="s">
        <v>264</v>
      </c>
      <c r="F243" s="85" t="s">
        <v>239</v>
      </c>
      <c r="G243" s="84" t="s">
        <v>240</v>
      </c>
      <c r="H243" s="85" t="s">
        <v>241</v>
      </c>
      <c r="I243" s="85" t="s">
        <v>232</v>
      </c>
      <c r="J243" s="69"/>
      <c r="K243" s="86" t="s">
        <v>959</v>
      </c>
    </row>
    <row r="244" spans="1:11">
      <c r="A244" s="72" t="s">
        <v>587</v>
      </c>
      <c r="B244" s="73" t="str">
        <f t="shared" si="8"/>
        <v>R</v>
      </c>
      <c r="C244" s="74" t="b">
        <f t="shared" si="9"/>
        <v>1</v>
      </c>
      <c r="D244" s="84"/>
      <c r="E244" s="84" t="s">
        <v>265</v>
      </c>
      <c r="F244" s="85" t="s">
        <v>239</v>
      </c>
      <c r="G244" s="84" t="s">
        <v>240</v>
      </c>
      <c r="H244" s="85" t="s">
        <v>241</v>
      </c>
      <c r="I244" s="85" t="s">
        <v>232</v>
      </c>
      <c r="J244" s="69"/>
      <c r="K244" s="86" t="s">
        <v>959</v>
      </c>
    </row>
    <row r="245" spans="1:11">
      <c r="A245" s="72" t="s">
        <v>588</v>
      </c>
      <c r="B245" s="73" t="str">
        <f t="shared" si="8"/>
        <v>R</v>
      </c>
      <c r="C245" s="74" t="b">
        <f t="shared" si="9"/>
        <v>1</v>
      </c>
      <c r="D245" s="84"/>
      <c r="E245" s="84" t="s">
        <v>305</v>
      </c>
      <c r="F245" s="85" t="s">
        <v>239</v>
      </c>
      <c r="G245" s="84" t="s">
        <v>240</v>
      </c>
      <c r="H245" s="85" t="s">
        <v>241</v>
      </c>
      <c r="I245" s="85" t="s">
        <v>232</v>
      </c>
      <c r="J245" s="69"/>
      <c r="K245" s="86" t="s">
        <v>959</v>
      </c>
    </row>
    <row r="246" spans="1:11">
      <c r="A246" s="72" t="s">
        <v>589</v>
      </c>
      <c r="B246" s="73" t="str">
        <f t="shared" si="8"/>
        <v>R</v>
      </c>
      <c r="C246" s="74" t="b">
        <f t="shared" si="9"/>
        <v>1</v>
      </c>
      <c r="D246" s="84"/>
      <c r="E246" s="84" t="s">
        <v>334</v>
      </c>
      <c r="F246" s="85" t="s">
        <v>239</v>
      </c>
      <c r="G246" s="84" t="s">
        <v>240</v>
      </c>
      <c r="H246" s="85" t="s">
        <v>241</v>
      </c>
      <c r="I246" s="85" t="s">
        <v>232</v>
      </c>
      <c r="J246" s="69"/>
      <c r="K246" s="86" t="s">
        <v>959</v>
      </c>
    </row>
    <row r="247" spans="1:11">
      <c r="A247" s="72" t="s">
        <v>590</v>
      </c>
      <c r="B247" s="73" t="str">
        <f t="shared" si="8"/>
        <v>R</v>
      </c>
      <c r="C247" s="74" t="b">
        <f t="shared" si="9"/>
        <v>1</v>
      </c>
      <c r="D247" s="84"/>
      <c r="E247" s="84" t="s">
        <v>282</v>
      </c>
      <c r="F247" s="85" t="s">
        <v>239</v>
      </c>
      <c r="G247" s="84" t="s">
        <v>240</v>
      </c>
      <c r="H247" s="85" t="s">
        <v>241</v>
      </c>
      <c r="I247" s="85" t="s">
        <v>232</v>
      </c>
      <c r="J247" s="69"/>
      <c r="K247" s="86" t="s">
        <v>959</v>
      </c>
    </row>
    <row r="248" spans="1:11">
      <c r="A248" s="72" t="s">
        <v>591</v>
      </c>
      <c r="B248" s="73" t="str">
        <f t="shared" si="8"/>
        <v>R</v>
      </c>
      <c r="C248" s="74" t="b">
        <f t="shared" si="9"/>
        <v>1</v>
      </c>
      <c r="D248" s="84"/>
      <c r="E248" s="84" t="s">
        <v>343</v>
      </c>
      <c r="F248" s="85" t="s">
        <v>239</v>
      </c>
      <c r="G248" s="84" t="s">
        <v>240</v>
      </c>
      <c r="H248" s="85" t="s">
        <v>241</v>
      </c>
      <c r="I248" s="85" t="s">
        <v>232</v>
      </c>
      <c r="J248" s="69"/>
      <c r="K248" s="86" t="s">
        <v>959</v>
      </c>
    </row>
    <row r="249" spans="1:11">
      <c r="A249" s="72" t="s">
        <v>592</v>
      </c>
      <c r="B249" s="73" t="str">
        <f t="shared" si="8"/>
        <v>R</v>
      </c>
      <c r="C249" s="74" t="b">
        <f t="shared" si="9"/>
        <v>1</v>
      </c>
      <c r="D249" s="84"/>
      <c r="E249" s="84" t="s">
        <v>697</v>
      </c>
      <c r="F249" s="85" t="s">
        <v>239</v>
      </c>
      <c r="G249" s="84" t="s">
        <v>240</v>
      </c>
      <c r="H249" s="85" t="s">
        <v>241</v>
      </c>
      <c r="I249" s="85" t="s">
        <v>232</v>
      </c>
      <c r="J249" s="69"/>
      <c r="K249" s="86" t="s">
        <v>959</v>
      </c>
    </row>
    <row r="250" spans="1:11">
      <c r="A250" s="72" t="s">
        <v>593</v>
      </c>
      <c r="B250" s="73" t="str">
        <f t="shared" si="8"/>
        <v>R</v>
      </c>
      <c r="C250" s="74" t="b">
        <f t="shared" si="9"/>
        <v>1</v>
      </c>
      <c r="D250" s="84"/>
      <c r="E250" s="84" t="s">
        <v>700</v>
      </c>
      <c r="F250" s="85" t="s">
        <v>239</v>
      </c>
      <c r="G250" s="84" t="s">
        <v>240</v>
      </c>
      <c r="H250" s="85" t="s">
        <v>241</v>
      </c>
      <c r="I250" s="85" t="s">
        <v>232</v>
      </c>
      <c r="J250" s="69"/>
      <c r="K250" s="86" t="s">
        <v>959</v>
      </c>
    </row>
    <row r="251" spans="1:11">
      <c r="A251" s="72" t="s">
        <v>594</v>
      </c>
      <c r="B251" s="73" t="str">
        <f t="shared" si="8"/>
        <v>R</v>
      </c>
      <c r="C251" s="74" t="b">
        <f t="shared" si="9"/>
        <v>0</v>
      </c>
      <c r="D251" s="84">
        <v>1</v>
      </c>
      <c r="E251" s="84" t="s">
        <v>284</v>
      </c>
      <c r="F251" s="85" t="s">
        <v>876</v>
      </c>
      <c r="G251" s="84" t="s">
        <v>237</v>
      </c>
      <c r="H251" s="85" t="s">
        <v>336</v>
      </c>
      <c r="I251" s="85" t="s">
        <v>232</v>
      </c>
      <c r="J251" s="69"/>
      <c r="K251" s="86" t="s">
        <v>959</v>
      </c>
    </row>
    <row r="252" spans="1:11">
      <c r="A252" s="72" t="s">
        <v>595</v>
      </c>
      <c r="B252" s="73" t="str">
        <f t="shared" si="8"/>
        <v>R</v>
      </c>
      <c r="C252" s="74" t="b">
        <f t="shared" si="9"/>
        <v>1</v>
      </c>
      <c r="D252" s="84">
        <v>13</v>
      </c>
      <c r="E252" s="84" t="s">
        <v>287</v>
      </c>
      <c r="F252" s="85" t="s">
        <v>261</v>
      </c>
      <c r="G252" s="84" t="s">
        <v>240</v>
      </c>
      <c r="H252" s="85" t="s">
        <v>262</v>
      </c>
      <c r="I252" s="85" t="s">
        <v>232</v>
      </c>
      <c r="J252" s="69"/>
      <c r="K252" s="86" t="s">
        <v>959</v>
      </c>
    </row>
    <row r="253" spans="1:11">
      <c r="A253" s="72" t="s">
        <v>596</v>
      </c>
      <c r="B253" s="73" t="str">
        <f t="shared" si="8"/>
        <v>R</v>
      </c>
      <c r="C253" s="74" t="b">
        <f t="shared" si="9"/>
        <v>1</v>
      </c>
      <c r="D253" s="84"/>
      <c r="E253" s="84" t="s">
        <v>1096</v>
      </c>
      <c r="F253" s="85" t="s">
        <v>261</v>
      </c>
      <c r="G253" s="84" t="s">
        <v>240</v>
      </c>
      <c r="H253" s="85" t="s">
        <v>262</v>
      </c>
      <c r="I253" s="85" t="s">
        <v>232</v>
      </c>
      <c r="J253" s="69"/>
      <c r="K253" s="86" t="s">
        <v>959</v>
      </c>
    </row>
    <row r="254" spans="1:11">
      <c r="A254" s="72" t="s">
        <v>597</v>
      </c>
      <c r="B254" s="73" t="str">
        <f t="shared" si="8"/>
        <v>R</v>
      </c>
      <c r="C254" s="74" t="b">
        <f t="shared" si="9"/>
        <v>1</v>
      </c>
      <c r="D254" s="84"/>
      <c r="E254" s="84" t="s">
        <v>251</v>
      </c>
      <c r="F254" s="85" t="s">
        <v>261</v>
      </c>
      <c r="G254" s="84" t="s">
        <v>240</v>
      </c>
      <c r="H254" s="85" t="s">
        <v>262</v>
      </c>
      <c r="I254" s="85" t="s">
        <v>232</v>
      </c>
      <c r="J254" s="69"/>
      <c r="K254" s="86" t="s">
        <v>959</v>
      </c>
    </row>
    <row r="255" spans="1:11">
      <c r="A255" s="72" t="s">
        <v>598</v>
      </c>
      <c r="B255" s="73" t="str">
        <f t="shared" si="8"/>
        <v>R</v>
      </c>
      <c r="C255" s="74" t="b">
        <f t="shared" si="9"/>
        <v>1</v>
      </c>
      <c r="D255" s="84"/>
      <c r="E255" s="84" t="s">
        <v>328</v>
      </c>
      <c r="F255" s="85" t="s">
        <v>261</v>
      </c>
      <c r="G255" s="84" t="s">
        <v>240</v>
      </c>
      <c r="H255" s="85" t="s">
        <v>262</v>
      </c>
      <c r="I255" s="85" t="s">
        <v>232</v>
      </c>
      <c r="J255" s="69"/>
      <c r="K255" s="86" t="s">
        <v>959</v>
      </c>
    </row>
    <row r="256" spans="1:11">
      <c r="A256" s="72" t="s">
        <v>599</v>
      </c>
      <c r="B256" s="73" t="str">
        <f t="shared" si="8"/>
        <v>R</v>
      </c>
      <c r="C256" s="74" t="b">
        <f t="shared" si="9"/>
        <v>1</v>
      </c>
      <c r="D256" s="84"/>
      <c r="E256" s="84" t="s">
        <v>268</v>
      </c>
      <c r="F256" s="85" t="s">
        <v>261</v>
      </c>
      <c r="G256" s="84" t="s">
        <v>240</v>
      </c>
      <c r="H256" s="85" t="s">
        <v>262</v>
      </c>
      <c r="I256" s="85" t="s">
        <v>232</v>
      </c>
      <c r="J256" s="69"/>
      <c r="K256" s="86" t="s">
        <v>959</v>
      </c>
    </row>
    <row r="257" spans="1:11">
      <c r="A257" s="72" t="s">
        <v>600</v>
      </c>
      <c r="B257" s="73" t="str">
        <f t="shared" si="8"/>
        <v>R</v>
      </c>
      <c r="C257" s="74" t="b">
        <f t="shared" si="9"/>
        <v>1</v>
      </c>
      <c r="D257" s="84"/>
      <c r="E257" s="84" t="s">
        <v>235</v>
      </c>
      <c r="F257" s="85" t="s">
        <v>261</v>
      </c>
      <c r="G257" s="84" t="s">
        <v>240</v>
      </c>
      <c r="H257" s="85" t="s">
        <v>262</v>
      </c>
      <c r="I257" s="85" t="s">
        <v>232</v>
      </c>
      <c r="J257" s="69"/>
      <c r="K257" s="86" t="s">
        <v>959</v>
      </c>
    </row>
    <row r="258" spans="1:11">
      <c r="A258" s="72" t="s">
        <v>601</v>
      </c>
      <c r="B258" s="73" t="str">
        <f t="shared" si="8"/>
        <v>R</v>
      </c>
      <c r="C258" s="74" t="b">
        <f t="shared" si="9"/>
        <v>1</v>
      </c>
      <c r="D258" s="84"/>
      <c r="E258" s="84" t="s">
        <v>307</v>
      </c>
      <c r="F258" s="85" t="s">
        <v>261</v>
      </c>
      <c r="G258" s="84" t="s">
        <v>240</v>
      </c>
      <c r="H258" s="85" t="s">
        <v>262</v>
      </c>
      <c r="I258" s="85" t="s">
        <v>232</v>
      </c>
      <c r="J258" s="69"/>
      <c r="K258" s="86" t="s">
        <v>959</v>
      </c>
    </row>
    <row r="259" spans="1:11">
      <c r="A259" s="72" t="s">
        <v>602</v>
      </c>
      <c r="B259" s="73" t="str">
        <f t="shared" si="8"/>
        <v>R</v>
      </c>
      <c r="C259" s="74" t="b">
        <f t="shared" si="9"/>
        <v>1</v>
      </c>
      <c r="D259" s="84"/>
      <c r="E259" s="84" t="s">
        <v>337</v>
      </c>
      <c r="F259" s="85" t="s">
        <v>261</v>
      </c>
      <c r="G259" s="84" t="s">
        <v>240</v>
      </c>
      <c r="H259" s="85" t="s">
        <v>262</v>
      </c>
      <c r="I259" s="85" t="s">
        <v>232</v>
      </c>
      <c r="J259" s="69"/>
      <c r="K259" s="86" t="s">
        <v>959</v>
      </c>
    </row>
    <row r="260" spans="1:11">
      <c r="A260" s="72" t="s">
        <v>603</v>
      </c>
      <c r="B260" s="73" t="str">
        <f t="shared" si="8"/>
        <v>R</v>
      </c>
      <c r="C260" s="74" t="b">
        <f t="shared" si="9"/>
        <v>1</v>
      </c>
      <c r="D260" s="84"/>
      <c r="E260" s="84" t="s">
        <v>308</v>
      </c>
      <c r="F260" s="85" t="s">
        <v>261</v>
      </c>
      <c r="G260" s="84" t="s">
        <v>240</v>
      </c>
      <c r="H260" s="85" t="s">
        <v>262</v>
      </c>
      <c r="I260" s="85" t="s">
        <v>232</v>
      </c>
      <c r="J260" s="69"/>
      <c r="K260" s="86" t="s">
        <v>959</v>
      </c>
    </row>
    <row r="261" spans="1:11">
      <c r="A261" s="72" t="s">
        <v>604</v>
      </c>
      <c r="B261" s="73" t="str">
        <f t="shared" si="8"/>
        <v>R</v>
      </c>
      <c r="C261" s="74" t="b">
        <f t="shared" si="9"/>
        <v>1</v>
      </c>
      <c r="D261" s="84"/>
      <c r="E261" s="84" t="s">
        <v>877</v>
      </c>
      <c r="F261" s="85" t="s">
        <v>261</v>
      </c>
      <c r="G261" s="84" t="s">
        <v>240</v>
      </c>
      <c r="H261" s="85" t="s">
        <v>262</v>
      </c>
      <c r="I261" s="85" t="s">
        <v>232</v>
      </c>
      <c r="J261" s="69"/>
      <c r="K261" s="86" t="s">
        <v>959</v>
      </c>
    </row>
    <row r="262" spans="1:11">
      <c r="A262" s="72" t="s">
        <v>605</v>
      </c>
      <c r="B262" s="73" t="str">
        <f t="shared" si="8"/>
        <v>R</v>
      </c>
      <c r="C262" s="74" t="b">
        <f t="shared" si="9"/>
        <v>1</v>
      </c>
      <c r="D262" s="84"/>
      <c r="E262" s="84" t="s">
        <v>878</v>
      </c>
      <c r="F262" s="85" t="s">
        <v>261</v>
      </c>
      <c r="G262" s="84" t="s">
        <v>240</v>
      </c>
      <c r="H262" s="85" t="s">
        <v>262</v>
      </c>
      <c r="I262" s="85" t="s">
        <v>232</v>
      </c>
      <c r="J262" s="69"/>
      <c r="K262" s="86" t="s">
        <v>959</v>
      </c>
    </row>
    <row r="263" spans="1:11">
      <c r="A263" s="72" t="s">
        <v>606</v>
      </c>
      <c r="B263" s="73" t="str">
        <f t="shared" si="8"/>
        <v>R</v>
      </c>
      <c r="C263" s="74" t="b">
        <f t="shared" si="9"/>
        <v>1</v>
      </c>
      <c r="D263" s="84"/>
      <c r="E263" s="84" t="s">
        <v>879</v>
      </c>
      <c r="F263" s="85" t="s">
        <v>261</v>
      </c>
      <c r="G263" s="84" t="s">
        <v>240</v>
      </c>
      <c r="H263" s="85" t="s">
        <v>262</v>
      </c>
      <c r="I263" s="85" t="s">
        <v>232</v>
      </c>
      <c r="J263" s="69"/>
      <c r="K263" s="86" t="s">
        <v>959</v>
      </c>
    </row>
    <row r="264" spans="1:11">
      <c r="A264" s="72" t="s">
        <v>607</v>
      </c>
      <c r="B264" s="73" t="str">
        <f t="shared" si="8"/>
        <v>R</v>
      </c>
      <c r="C264" s="74" t="b">
        <f t="shared" si="9"/>
        <v>1</v>
      </c>
      <c r="D264" s="84"/>
      <c r="E264" s="84" t="s">
        <v>880</v>
      </c>
      <c r="F264" s="85" t="s">
        <v>261</v>
      </c>
      <c r="G264" s="84" t="s">
        <v>240</v>
      </c>
      <c r="H264" s="85" t="s">
        <v>262</v>
      </c>
      <c r="I264" s="85" t="s">
        <v>232</v>
      </c>
      <c r="J264" s="69"/>
      <c r="K264" s="86" t="s">
        <v>959</v>
      </c>
    </row>
    <row r="265" spans="1:11">
      <c r="A265" s="72" t="s">
        <v>608</v>
      </c>
      <c r="B265" s="73" t="str">
        <f t="shared" si="8"/>
        <v>R</v>
      </c>
      <c r="C265" s="74" t="b">
        <f t="shared" si="9"/>
        <v>0</v>
      </c>
      <c r="D265" s="84">
        <v>3</v>
      </c>
      <c r="E265" s="84" t="s">
        <v>270</v>
      </c>
      <c r="F265" s="85" t="s">
        <v>340</v>
      </c>
      <c r="G265" s="84" t="s">
        <v>240</v>
      </c>
      <c r="H265" s="85" t="s">
        <v>341</v>
      </c>
      <c r="I265" s="85" t="s">
        <v>232</v>
      </c>
      <c r="J265" s="69"/>
      <c r="K265" s="86" t="s">
        <v>959</v>
      </c>
    </row>
    <row r="266" spans="1:11">
      <c r="A266" s="72" t="s">
        <v>609</v>
      </c>
      <c r="B266" s="73" t="str">
        <f t="shared" si="8"/>
        <v>R</v>
      </c>
      <c r="C266" s="74" t="b">
        <f t="shared" si="9"/>
        <v>0</v>
      </c>
      <c r="D266" s="84"/>
      <c r="E266" s="84" t="s">
        <v>273</v>
      </c>
      <c r="F266" s="85" t="s">
        <v>340</v>
      </c>
      <c r="G266" s="84" t="s">
        <v>240</v>
      </c>
      <c r="H266" s="85" t="s">
        <v>341</v>
      </c>
      <c r="I266" s="85" t="s">
        <v>232</v>
      </c>
      <c r="J266" s="69"/>
      <c r="K266" s="86" t="s">
        <v>959</v>
      </c>
    </row>
    <row r="267" spans="1:11">
      <c r="A267" s="72" t="s">
        <v>610</v>
      </c>
      <c r="B267" s="73" t="str">
        <f t="shared" si="8"/>
        <v>R</v>
      </c>
      <c r="C267" s="74" t="b">
        <f t="shared" si="9"/>
        <v>0</v>
      </c>
      <c r="D267" s="84"/>
      <c r="E267" s="84" t="s">
        <v>312</v>
      </c>
      <c r="F267" s="85" t="s">
        <v>340</v>
      </c>
      <c r="G267" s="84" t="s">
        <v>240</v>
      </c>
      <c r="H267" s="85" t="s">
        <v>341</v>
      </c>
      <c r="I267" s="85" t="s">
        <v>232</v>
      </c>
      <c r="J267" s="69"/>
      <c r="K267" s="86" t="s">
        <v>959</v>
      </c>
    </row>
    <row r="268" spans="1:11">
      <c r="A268" s="72" t="s">
        <v>611</v>
      </c>
      <c r="B268" s="73" t="str">
        <f t="shared" si="8"/>
        <v>R</v>
      </c>
      <c r="C268" s="74" t="b">
        <f t="shared" si="9"/>
        <v>1</v>
      </c>
      <c r="D268" s="84">
        <v>13</v>
      </c>
      <c r="E268" s="84" t="s">
        <v>274</v>
      </c>
      <c r="F268" s="85" t="s">
        <v>695</v>
      </c>
      <c r="G268" s="84" t="s">
        <v>240</v>
      </c>
      <c r="H268" s="85" t="s">
        <v>696</v>
      </c>
      <c r="I268" s="85" t="s">
        <v>232</v>
      </c>
      <c r="J268" s="69"/>
      <c r="K268" s="86" t="s">
        <v>959</v>
      </c>
    </row>
    <row r="269" spans="1:11">
      <c r="A269" s="72" t="s">
        <v>612</v>
      </c>
      <c r="B269" s="73" t="str">
        <f t="shared" si="8"/>
        <v>R</v>
      </c>
      <c r="C269" s="74" t="b">
        <f t="shared" si="9"/>
        <v>1</v>
      </c>
      <c r="D269" s="84"/>
      <c r="E269" s="84" t="s">
        <v>275</v>
      </c>
      <c r="F269" s="85" t="s">
        <v>695</v>
      </c>
      <c r="G269" s="84" t="s">
        <v>240</v>
      </c>
      <c r="H269" s="85" t="s">
        <v>696</v>
      </c>
      <c r="I269" s="85" t="s">
        <v>232</v>
      </c>
      <c r="J269" s="69"/>
      <c r="K269" s="86" t="s">
        <v>959</v>
      </c>
    </row>
    <row r="270" spans="1:11">
      <c r="A270" s="72" t="s">
        <v>613</v>
      </c>
      <c r="B270" s="73" t="str">
        <f t="shared" si="8"/>
        <v>R</v>
      </c>
      <c r="C270" s="74" t="b">
        <f t="shared" si="9"/>
        <v>1</v>
      </c>
      <c r="D270" s="84"/>
      <c r="E270" s="84" t="s">
        <v>296</v>
      </c>
      <c r="F270" s="85" t="s">
        <v>695</v>
      </c>
      <c r="G270" s="84" t="s">
        <v>240</v>
      </c>
      <c r="H270" s="85" t="s">
        <v>696</v>
      </c>
      <c r="I270" s="85" t="s">
        <v>232</v>
      </c>
      <c r="J270" s="69"/>
      <c r="K270" s="86" t="s">
        <v>959</v>
      </c>
    </row>
    <row r="271" spans="1:11">
      <c r="A271" s="72" t="s">
        <v>614</v>
      </c>
      <c r="B271" s="73" t="str">
        <f t="shared" si="8"/>
        <v>R</v>
      </c>
      <c r="C271" s="74" t="b">
        <f t="shared" si="9"/>
        <v>1</v>
      </c>
      <c r="D271" s="84"/>
      <c r="E271" s="84" t="s">
        <v>279</v>
      </c>
      <c r="F271" s="85" t="s">
        <v>695</v>
      </c>
      <c r="G271" s="84" t="s">
        <v>240</v>
      </c>
      <c r="H271" s="85" t="s">
        <v>696</v>
      </c>
      <c r="I271" s="85" t="s">
        <v>232</v>
      </c>
      <c r="J271" s="69"/>
      <c r="K271" s="86" t="s">
        <v>959</v>
      </c>
    </row>
    <row r="272" spans="1:11">
      <c r="A272" s="72" t="s">
        <v>615</v>
      </c>
      <c r="B272" s="73" t="str">
        <f t="shared" si="8"/>
        <v>R</v>
      </c>
      <c r="C272" s="74" t="b">
        <f t="shared" si="9"/>
        <v>1</v>
      </c>
      <c r="D272" s="84"/>
      <c r="E272" s="84" t="s">
        <v>249</v>
      </c>
      <c r="F272" s="85" t="s">
        <v>695</v>
      </c>
      <c r="G272" s="84" t="s">
        <v>240</v>
      </c>
      <c r="H272" s="85" t="s">
        <v>696</v>
      </c>
      <c r="I272" s="85" t="s">
        <v>232</v>
      </c>
      <c r="J272" s="69"/>
      <c r="K272" s="86" t="s">
        <v>959</v>
      </c>
    </row>
    <row r="273" spans="1:11">
      <c r="A273" s="72" t="s">
        <v>616</v>
      </c>
      <c r="B273" s="73" t="str">
        <f t="shared" si="8"/>
        <v>R</v>
      </c>
      <c r="C273" s="74" t="b">
        <f t="shared" si="9"/>
        <v>1</v>
      </c>
      <c r="D273" s="84"/>
      <c r="E273" s="84" t="s">
        <v>349</v>
      </c>
      <c r="F273" s="85" t="s">
        <v>695</v>
      </c>
      <c r="G273" s="84" t="s">
        <v>240</v>
      </c>
      <c r="H273" s="85" t="s">
        <v>696</v>
      </c>
      <c r="I273" s="85" t="s">
        <v>232</v>
      </c>
      <c r="J273" s="69"/>
      <c r="K273" s="86" t="s">
        <v>959</v>
      </c>
    </row>
    <row r="274" spans="1:11">
      <c r="A274" s="72" t="s">
        <v>617</v>
      </c>
      <c r="B274" s="73" t="str">
        <f t="shared" si="8"/>
        <v>R</v>
      </c>
      <c r="C274" s="74" t="b">
        <f t="shared" si="9"/>
        <v>1</v>
      </c>
      <c r="D274" s="84"/>
      <c r="E274" s="84" t="s">
        <v>352</v>
      </c>
      <c r="F274" s="85" t="s">
        <v>695</v>
      </c>
      <c r="G274" s="84" t="s">
        <v>240</v>
      </c>
      <c r="H274" s="85" t="s">
        <v>696</v>
      </c>
      <c r="I274" s="85" t="s">
        <v>232</v>
      </c>
      <c r="J274" s="69"/>
      <c r="K274" s="86" t="s">
        <v>959</v>
      </c>
    </row>
    <row r="275" spans="1:11">
      <c r="A275" s="72" t="s">
        <v>618</v>
      </c>
      <c r="B275" s="73" t="str">
        <f t="shared" si="8"/>
        <v>R</v>
      </c>
      <c r="C275" s="74" t="b">
        <f t="shared" si="9"/>
        <v>1</v>
      </c>
      <c r="D275" s="84"/>
      <c r="E275" s="84" t="s">
        <v>322</v>
      </c>
      <c r="F275" s="85" t="s">
        <v>695</v>
      </c>
      <c r="G275" s="84" t="s">
        <v>240</v>
      </c>
      <c r="H275" s="85" t="s">
        <v>696</v>
      </c>
      <c r="I275" s="85" t="s">
        <v>232</v>
      </c>
      <c r="J275" s="69"/>
      <c r="K275" s="86" t="s">
        <v>959</v>
      </c>
    </row>
    <row r="276" spans="1:11">
      <c r="A276" s="72" t="s">
        <v>619</v>
      </c>
      <c r="B276" s="73" t="str">
        <f t="shared" si="8"/>
        <v>R</v>
      </c>
      <c r="C276" s="74" t="b">
        <f t="shared" si="9"/>
        <v>1</v>
      </c>
      <c r="D276" s="84"/>
      <c r="E276" s="84" t="s">
        <v>323</v>
      </c>
      <c r="F276" s="85" t="s">
        <v>695</v>
      </c>
      <c r="G276" s="84" t="s">
        <v>240</v>
      </c>
      <c r="H276" s="85" t="s">
        <v>696</v>
      </c>
      <c r="I276" s="85" t="s">
        <v>232</v>
      </c>
      <c r="J276" s="69"/>
      <c r="K276" s="86" t="s">
        <v>959</v>
      </c>
    </row>
    <row r="277" spans="1:11">
      <c r="A277" s="72" t="s">
        <v>620</v>
      </c>
      <c r="B277" s="73" t="str">
        <f t="shared" ref="B277:B340" si="10">IF(AND(MID(E277,2,1)&gt;="A",MID(E277,2,1)&lt;="Z"),LEFT(E277,2),LEFT(E277,1))</f>
        <v>R</v>
      </c>
      <c r="C277" s="74" t="b">
        <f t="shared" ref="C277:C340" si="11">IF(D277&lt;&gt;"",NOT(C276),C276)</f>
        <v>1</v>
      </c>
      <c r="D277" s="84"/>
      <c r="E277" s="84" t="s">
        <v>324</v>
      </c>
      <c r="F277" s="85" t="s">
        <v>695</v>
      </c>
      <c r="G277" s="84" t="s">
        <v>240</v>
      </c>
      <c r="H277" s="85" t="s">
        <v>696</v>
      </c>
      <c r="I277" s="85" t="s">
        <v>232</v>
      </c>
      <c r="J277" s="69"/>
      <c r="K277" s="86" t="s">
        <v>959</v>
      </c>
    </row>
    <row r="278" spans="1:11">
      <c r="A278" s="72" t="s">
        <v>621</v>
      </c>
      <c r="B278" s="73" t="str">
        <f t="shared" si="10"/>
        <v>R</v>
      </c>
      <c r="C278" s="74" t="b">
        <f t="shared" si="11"/>
        <v>1</v>
      </c>
      <c r="D278" s="84"/>
      <c r="E278" s="84" t="s">
        <v>259</v>
      </c>
      <c r="F278" s="85" t="s">
        <v>695</v>
      </c>
      <c r="G278" s="84" t="s">
        <v>240</v>
      </c>
      <c r="H278" s="85" t="s">
        <v>696</v>
      </c>
      <c r="I278" s="85" t="s">
        <v>232</v>
      </c>
      <c r="J278" s="69"/>
      <c r="K278" s="86" t="s">
        <v>959</v>
      </c>
    </row>
    <row r="279" spans="1:11">
      <c r="A279" s="72" t="s">
        <v>622</v>
      </c>
      <c r="B279" s="73" t="str">
        <f t="shared" si="10"/>
        <v>R</v>
      </c>
      <c r="C279" s="74" t="b">
        <f t="shared" si="11"/>
        <v>1</v>
      </c>
      <c r="D279" s="84"/>
      <c r="E279" s="84" t="s">
        <v>313</v>
      </c>
      <c r="F279" s="85" t="s">
        <v>695</v>
      </c>
      <c r="G279" s="84" t="s">
        <v>240</v>
      </c>
      <c r="H279" s="85" t="s">
        <v>696</v>
      </c>
      <c r="I279" s="85" t="s">
        <v>232</v>
      </c>
      <c r="J279" s="69"/>
      <c r="K279" s="86" t="s">
        <v>959</v>
      </c>
    </row>
    <row r="280" spans="1:11">
      <c r="A280" s="72" t="s">
        <v>623</v>
      </c>
      <c r="B280" s="73" t="str">
        <f t="shared" si="10"/>
        <v>R</v>
      </c>
      <c r="C280" s="74" t="b">
        <f t="shared" si="11"/>
        <v>1</v>
      </c>
      <c r="D280" s="84"/>
      <c r="E280" s="84" t="s">
        <v>315</v>
      </c>
      <c r="F280" s="85" t="s">
        <v>695</v>
      </c>
      <c r="G280" s="84" t="s">
        <v>240</v>
      </c>
      <c r="H280" s="85" t="s">
        <v>696</v>
      </c>
      <c r="I280" s="85" t="s">
        <v>232</v>
      </c>
      <c r="J280" s="69"/>
      <c r="K280" s="86" t="s">
        <v>959</v>
      </c>
    </row>
    <row r="281" spans="1:11">
      <c r="A281" s="72" t="s">
        <v>624</v>
      </c>
      <c r="B281" s="73" t="str">
        <f t="shared" si="10"/>
        <v>R</v>
      </c>
      <c r="C281" s="74" t="b">
        <f t="shared" si="11"/>
        <v>0</v>
      </c>
      <c r="D281" s="84">
        <v>1</v>
      </c>
      <c r="E281" s="84" t="s">
        <v>289</v>
      </c>
      <c r="F281" s="85" t="s">
        <v>143</v>
      </c>
      <c r="G281" s="84" t="s">
        <v>237</v>
      </c>
      <c r="H281" s="85" t="s">
        <v>682</v>
      </c>
      <c r="I281" s="85" t="s">
        <v>232</v>
      </c>
      <c r="J281" s="69"/>
      <c r="K281" s="86" t="s">
        <v>959</v>
      </c>
    </row>
    <row r="282" spans="1:11">
      <c r="A282" s="72" t="s">
        <v>625</v>
      </c>
      <c r="B282" s="73" t="str">
        <f t="shared" si="10"/>
        <v>R</v>
      </c>
      <c r="C282" s="74" t="b">
        <f t="shared" si="11"/>
        <v>1</v>
      </c>
      <c r="D282" s="84">
        <v>48</v>
      </c>
      <c r="E282" s="84" t="s">
        <v>292</v>
      </c>
      <c r="F282" s="85" t="s">
        <v>285</v>
      </c>
      <c r="G282" s="84" t="s">
        <v>240</v>
      </c>
      <c r="H282" s="85" t="s">
        <v>286</v>
      </c>
      <c r="I282" s="85" t="s">
        <v>232</v>
      </c>
      <c r="J282" s="69"/>
      <c r="K282" s="86" t="s">
        <v>959</v>
      </c>
    </row>
    <row r="283" spans="1:11">
      <c r="A283" s="72" t="s">
        <v>626</v>
      </c>
      <c r="B283" s="73" t="str">
        <f t="shared" si="10"/>
        <v>R</v>
      </c>
      <c r="C283" s="74" t="b">
        <f t="shared" si="11"/>
        <v>1</v>
      </c>
      <c r="D283" s="84"/>
      <c r="E283" s="84" t="s">
        <v>244</v>
      </c>
      <c r="F283" s="85" t="s">
        <v>285</v>
      </c>
      <c r="G283" s="84" t="s">
        <v>240</v>
      </c>
      <c r="H283" s="85" t="s">
        <v>286</v>
      </c>
      <c r="I283" s="85" t="s">
        <v>232</v>
      </c>
      <c r="J283" s="69"/>
      <c r="K283" s="86" t="s">
        <v>959</v>
      </c>
    </row>
    <row r="284" spans="1:11">
      <c r="A284" s="72" t="s">
        <v>627</v>
      </c>
      <c r="B284" s="73" t="str">
        <f t="shared" si="10"/>
        <v>R</v>
      </c>
      <c r="C284" s="74" t="b">
        <f t="shared" si="11"/>
        <v>1</v>
      </c>
      <c r="D284" s="84"/>
      <c r="E284" s="84" t="s">
        <v>246</v>
      </c>
      <c r="F284" s="85" t="s">
        <v>285</v>
      </c>
      <c r="G284" s="84" t="s">
        <v>240</v>
      </c>
      <c r="H284" s="85" t="s">
        <v>286</v>
      </c>
      <c r="I284" s="85" t="s">
        <v>232</v>
      </c>
      <c r="J284" s="69"/>
      <c r="K284" s="86" t="s">
        <v>959</v>
      </c>
    </row>
    <row r="285" spans="1:11">
      <c r="A285" s="72" t="s">
        <v>628</v>
      </c>
      <c r="B285" s="73" t="str">
        <f t="shared" si="10"/>
        <v>R</v>
      </c>
      <c r="C285" s="74" t="b">
        <f t="shared" si="11"/>
        <v>1</v>
      </c>
      <c r="D285" s="84"/>
      <c r="E285" s="84" t="s">
        <v>248</v>
      </c>
      <c r="F285" s="85" t="s">
        <v>285</v>
      </c>
      <c r="G285" s="84" t="s">
        <v>240</v>
      </c>
      <c r="H285" s="85" t="s">
        <v>286</v>
      </c>
      <c r="I285" s="85" t="s">
        <v>232</v>
      </c>
      <c r="J285" s="69"/>
      <c r="K285" s="86" t="s">
        <v>959</v>
      </c>
    </row>
    <row r="286" spans="1:11">
      <c r="A286" s="72" t="s">
        <v>629</v>
      </c>
      <c r="B286" s="73" t="str">
        <f t="shared" si="10"/>
        <v>R</v>
      </c>
      <c r="C286" s="74" t="b">
        <f t="shared" si="11"/>
        <v>1</v>
      </c>
      <c r="D286" s="84"/>
      <c r="E286" s="84" t="s">
        <v>325</v>
      </c>
      <c r="F286" s="85" t="s">
        <v>285</v>
      </c>
      <c r="G286" s="84" t="s">
        <v>240</v>
      </c>
      <c r="H286" s="85" t="s">
        <v>286</v>
      </c>
      <c r="I286" s="85" t="s">
        <v>232</v>
      </c>
      <c r="J286" s="69"/>
      <c r="K286" s="86" t="s">
        <v>959</v>
      </c>
    </row>
    <row r="287" spans="1:11">
      <c r="A287" s="72" t="s">
        <v>630</v>
      </c>
      <c r="B287" s="73" t="str">
        <f t="shared" si="10"/>
        <v>R</v>
      </c>
      <c r="C287" s="74" t="b">
        <f t="shared" si="11"/>
        <v>1</v>
      </c>
      <c r="D287" s="84"/>
      <c r="E287" s="84" t="s">
        <v>327</v>
      </c>
      <c r="F287" s="85" t="s">
        <v>285</v>
      </c>
      <c r="G287" s="84" t="s">
        <v>240</v>
      </c>
      <c r="H287" s="85" t="s">
        <v>286</v>
      </c>
      <c r="I287" s="85" t="s">
        <v>232</v>
      </c>
      <c r="J287" s="69"/>
      <c r="K287" s="86" t="s">
        <v>959</v>
      </c>
    </row>
    <row r="288" spans="1:11">
      <c r="A288" s="72" t="s">
        <v>631</v>
      </c>
      <c r="B288" s="73" t="str">
        <f t="shared" si="10"/>
        <v>R</v>
      </c>
      <c r="C288" s="74" t="b">
        <f t="shared" si="11"/>
        <v>1</v>
      </c>
      <c r="D288" s="84"/>
      <c r="E288" s="84" t="s">
        <v>298</v>
      </c>
      <c r="F288" s="85" t="s">
        <v>285</v>
      </c>
      <c r="G288" s="84" t="s">
        <v>240</v>
      </c>
      <c r="H288" s="85" t="s">
        <v>286</v>
      </c>
      <c r="I288" s="85" t="s">
        <v>232</v>
      </c>
      <c r="J288" s="69"/>
      <c r="K288" s="86" t="s">
        <v>959</v>
      </c>
    </row>
    <row r="289" spans="1:11">
      <c r="A289" s="72" t="s">
        <v>632</v>
      </c>
      <c r="B289" s="73" t="str">
        <f t="shared" si="10"/>
        <v>R</v>
      </c>
      <c r="C289" s="74" t="b">
        <f t="shared" si="11"/>
        <v>1</v>
      </c>
      <c r="D289" s="84"/>
      <c r="E289" s="84" t="s">
        <v>299</v>
      </c>
      <c r="F289" s="85" t="s">
        <v>285</v>
      </c>
      <c r="G289" s="84" t="s">
        <v>240</v>
      </c>
      <c r="H289" s="85" t="s">
        <v>286</v>
      </c>
      <c r="I289" s="85" t="s">
        <v>232</v>
      </c>
      <c r="J289" s="69"/>
      <c r="K289" s="86" t="s">
        <v>959</v>
      </c>
    </row>
    <row r="290" spans="1:11">
      <c r="A290" s="72" t="s">
        <v>633</v>
      </c>
      <c r="B290" s="73" t="str">
        <f t="shared" si="10"/>
        <v>R</v>
      </c>
      <c r="C290" s="74" t="b">
        <f t="shared" si="11"/>
        <v>1</v>
      </c>
      <c r="D290" s="84"/>
      <c r="E290" s="84" t="s">
        <v>300</v>
      </c>
      <c r="F290" s="85" t="s">
        <v>285</v>
      </c>
      <c r="G290" s="84" t="s">
        <v>240</v>
      </c>
      <c r="H290" s="85" t="s">
        <v>286</v>
      </c>
      <c r="I290" s="85" t="s">
        <v>232</v>
      </c>
      <c r="J290" s="69"/>
      <c r="K290" s="86" t="s">
        <v>959</v>
      </c>
    </row>
    <row r="291" spans="1:11">
      <c r="A291" s="72" t="s">
        <v>634</v>
      </c>
      <c r="B291" s="73" t="str">
        <f t="shared" si="10"/>
        <v>R</v>
      </c>
      <c r="C291" s="74" t="b">
        <f t="shared" si="11"/>
        <v>1</v>
      </c>
      <c r="D291" s="84"/>
      <c r="E291" s="84" t="s">
        <v>280</v>
      </c>
      <c r="F291" s="85" t="s">
        <v>285</v>
      </c>
      <c r="G291" s="84" t="s">
        <v>240</v>
      </c>
      <c r="H291" s="85" t="s">
        <v>286</v>
      </c>
      <c r="I291" s="85" t="s">
        <v>232</v>
      </c>
      <c r="J291" s="69"/>
      <c r="K291" s="86" t="s">
        <v>959</v>
      </c>
    </row>
    <row r="292" spans="1:11">
      <c r="A292" s="72" t="s">
        <v>635</v>
      </c>
      <c r="B292" s="73" t="str">
        <f t="shared" si="10"/>
        <v>R</v>
      </c>
      <c r="C292" s="74" t="b">
        <f t="shared" si="11"/>
        <v>1</v>
      </c>
      <c r="D292" s="84"/>
      <c r="E292" s="84" t="s">
        <v>301</v>
      </c>
      <c r="F292" s="85" t="s">
        <v>285</v>
      </c>
      <c r="G292" s="84" t="s">
        <v>240</v>
      </c>
      <c r="H292" s="85" t="s">
        <v>286</v>
      </c>
      <c r="I292" s="85" t="s">
        <v>232</v>
      </c>
      <c r="J292" s="69"/>
      <c r="K292" s="86" t="s">
        <v>959</v>
      </c>
    </row>
    <row r="293" spans="1:11">
      <c r="A293" s="72" t="s">
        <v>636</v>
      </c>
      <c r="B293" s="73" t="str">
        <f t="shared" si="10"/>
        <v>R</v>
      </c>
      <c r="C293" s="74" t="b">
        <f t="shared" si="11"/>
        <v>1</v>
      </c>
      <c r="D293" s="84"/>
      <c r="E293" s="84" t="s">
        <v>234</v>
      </c>
      <c r="F293" s="85" t="s">
        <v>285</v>
      </c>
      <c r="G293" s="84" t="s">
        <v>240</v>
      </c>
      <c r="H293" s="85" t="s">
        <v>286</v>
      </c>
      <c r="I293" s="85" t="s">
        <v>232</v>
      </c>
      <c r="J293" s="69"/>
      <c r="K293" s="86" t="s">
        <v>959</v>
      </c>
    </row>
    <row r="294" spans="1:11">
      <c r="A294" s="72" t="s">
        <v>637</v>
      </c>
      <c r="B294" s="73" t="str">
        <f t="shared" si="10"/>
        <v>R</v>
      </c>
      <c r="C294" s="74" t="b">
        <f t="shared" si="11"/>
        <v>1</v>
      </c>
      <c r="D294" s="84"/>
      <c r="E294" s="84" t="s">
        <v>266</v>
      </c>
      <c r="F294" s="85" t="s">
        <v>285</v>
      </c>
      <c r="G294" s="84" t="s">
        <v>240</v>
      </c>
      <c r="H294" s="85" t="s">
        <v>286</v>
      </c>
      <c r="I294" s="85" t="s">
        <v>232</v>
      </c>
      <c r="J294" s="69"/>
      <c r="K294" s="86" t="s">
        <v>959</v>
      </c>
    </row>
    <row r="295" spans="1:11">
      <c r="A295" s="72" t="s">
        <v>638</v>
      </c>
      <c r="B295" s="73" t="str">
        <f t="shared" si="10"/>
        <v>R</v>
      </c>
      <c r="C295" s="74" t="b">
        <f t="shared" si="11"/>
        <v>1</v>
      </c>
      <c r="D295" s="84"/>
      <c r="E295" s="84" t="s">
        <v>267</v>
      </c>
      <c r="F295" s="85" t="s">
        <v>285</v>
      </c>
      <c r="G295" s="84" t="s">
        <v>240</v>
      </c>
      <c r="H295" s="85" t="s">
        <v>286</v>
      </c>
      <c r="I295" s="85" t="s">
        <v>232</v>
      </c>
      <c r="J295" s="69"/>
      <c r="K295" s="86" t="s">
        <v>959</v>
      </c>
    </row>
    <row r="296" spans="1:11">
      <c r="A296" s="72" t="s">
        <v>639</v>
      </c>
      <c r="B296" s="73" t="str">
        <f t="shared" si="10"/>
        <v>R</v>
      </c>
      <c r="C296" s="74" t="b">
        <f t="shared" si="11"/>
        <v>1</v>
      </c>
      <c r="D296" s="84"/>
      <c r="E296" s="84" t="s">
        <v>250</v>
      </c>
      <c r="F296" s="85" t="s">
        <v>285</v>
      </c>
      <c r="G296" s="84" t="s">
        <v>240</v>
      </c>
      <c r="H296" s="85" t="s">
        <v>286</v>
      </c>
      <c r="I296" s="85" t="s">
        <v>232</v>
      </c>
      <c r="J296" s="69"/>
      <c r="K296" s="86" t="s">
        <v>959</v>
      </c>
    </row>
    <row r="297" spans="1:11">
      <c r="A297" s="72" t="s">
        <v>640</v>
      </c>
      <c r="B297" s="73" t="str">
        <f t="shared" si="10"/>
        <v>R</v>
      </c>
      <c r="C297" s="74" t="b">
        <f t="shared" si="11"/>
        <v>1</v>
      </c>
      <c r="D297" s="84"/>
      <c r="E297" s="84" t="s">
        <v>252</v>
      </c>
      <c r="F297" s="85" t="s">
        <v>285</v>
      </c>
      <c r="G297" s="84" t="s">
        <v>240</v>
      </c>
      <c r="H297" s="85" t="s">
        <v>286</v>
      </c>
      <c r="I297" s="85" t="s">
        <v>232</v>
      </c>
      <c r="J297" s="69"/>
      <c r="K297" s="86" t="s">
        <v>959</v>
      </c>
    </row>
    <row r="298" spans="1:11">
      <c r="A298" s="72" t="s">
        <v>641</v>
      </c>
      <c r="B298" s="73" t="str">
        <f t="shared" si="10"/>
        <v>R</v>
      </c>
      <c r="C298" s="74" t="b">
        <f t="shared" si="11"/>
        <v>1</v>
      </c>
      <c r="D298" s="84"/>
      <c r="E298" s="84" t="s">
        <v>253</v>
      </c>
      <c r="F298" s="85" t="s">
        <v>285</v>
      </c>
      <c r="G298" s="84" t="s">
        <v>240</v>
      </c>
      <c r="H298" s="85" t="s">
        <v>286</v>
      </c>
      <c r="I298" s="85" t="s">
        <v>232</v>
      </c>
      <c r="J298" s="69"/>
      <c r="K298" s="86" t="s">
        <v>959</v>
      </c>
    </row>
    <row r="299" spans="1:11">
      <c r="A299" s="72" t="s">
        <v>642</v>
      </c>
      <c r="B299" s="73" t="str">
        <f t="shared" si="10"/>
        <v>R</v>
      </c>
      <c r="C299" s="74" t="b">
        <f t="shared" si="11"/>
        <v>1</v>
      </c>
      <c r="D299" s="84"/>
      <c r="E299" s="84" t="s">
        <v>254</v>
      </c>
      <c r="F299" s="85" t="s">
        <v>285</v>
      </c>
      <c r="G299" s="84" t="s">
        <v>240</v>
      </c>
      <c r="H299" s="85" t="s">
        <v>286</v>
      </c>
      <c r="I299" s="85" t="s">
        <v>232</v>
      </c>
      <c r="J299" s="69"/>
      <c r="K299" s="86" t="s">
        <v>959</v>
      </c>
    </row>
    <row r="300" spans="1:11">
      <c r="A300" s="72" t="s">
        <v>644</v>
      </c>
      <c r="B300" s="73" t="str">
        <f t="shared" si="10"/>
        <v>R</v>
      </c>
      <c r="C300" s="74" t="b">
        <f t="shared" si="11"/>
        <v>1</v>
      </c>
      <c r="D300" s="84"/>
      <c r="E300" s="84" t="s">
        <v>255</v>
      </c>
      <c r="F300" s="85" t="s">
        <v>285</v>
      </c>
      <c r="G300" s="84" t="s">
        <v>240</v>
      </c>
      <c r="H300" s="85" t="s">
        <v>286</v>
      </c>
      <c r="I300" s="85" t="s">
        <v>232</v>
      </c>
      <c r="J300" s="69"/>
      <c r="K300" s="86" t="s">
        <v>959</v>
      </c>
    </row>
    <row r="301" spans="1:11">
      <c r="A301" s="72" t="s">
        <v>711</v>
      </c>
      <c r="B301" s="73" t="str">
        <f t="shared" si="10"/>
        <v>R</v>
      </c>
      <c r="C301" s="74" t="b">
        <f t="shared" si="11"/>
        <v>1</v>
      </c>
      <c r="D301" s="84"/>
      <c r="E301" s="84" t="s">
        <v>256</v>
      </c>
      <c r="F301" s="85" t="s">
        <v>285</v>
      </c>
      <c r="G301" s="84" t="s">
        <v>240</v>
      </c>
      <c r="H301" s="85" t="s">
        <v>286</v>
      </c>
      <c r="I301" s="85" t="s">
        <v>232</v>
      </c>
      <c r="J301" s="69"/>
      <c r="K301" s="86" t="s">
        <v>959</v>
      </c>
    </row>
    <row r="302" spans="1:11">
      <c r="A302" s="72" t="s">
        <v>712</v>
      </c>
      <c r="B302" s="73" t="str">
        <f t="shared" si="10"/>
        <v>R</v>
      </c>
      <c r="C302" s="74" t="b">
        <f t="shared" si="11"/>
        <v>1</v>
      </c>
      <c r="D302" s="84"/>
      <c r="E302" s="84" t="s">
        <v>339</v>
      </c>
      <c r="F302" s="85" t="s">
        <v>285</v>
      </c>
      <c r="G302" s="84" t="s">
        <v>240</v>
      </c>
      <c r="H302" s="85" t="s">
        <v>286</v>
      </c>
      <c r="I302" s="85" t="s">
        <v>232</v>
      </c>
      <c r="J302" s="69"/>
      <c r="K302" s="86" t="s">
        <v>959</v>
      </c>
    </row>
    <row r="303" spans="1:11">
      <c r="A303" s="72" t="s">
        <v>713</v>
      </c>
      <c r="B303" s="73" t="str">
        <f t="shared" si="10"/>
        <v>R</v>
      </c>
      <c r="C303" s="74" t="b">
        <f t="shared" si="11"/>
        <v>1</v>
      </c>
      <c r="D303" s="84"/>
      <c r="E303" s="84" t="s">
        <v>236</v>
      </c>
      <c r="F303" s="85" t="s">
        <v>285</v>
      </c>
      <c r="G303" s="84" t="s">
        <v>240</v>
      </c>
      <c r="H303" s="85" t="s">
        <v>286</v>
      </c>
      <c r="I303" s="85" t="s">
        <v>232</v>
      </c>
      <c r="J303" s="69"/>
      <c r="K303" s="86" t="s">
        <v>959</v>
      </c>
    </row>
    <row r="304" spans="1:11">
      <c r="A304" s="72" t="s">
        <v>714</v>
      </c>
      <c r="B304" s="73" t="str">
        <f t="shared" si="10"/>
        <v>R</v>
      </c>
      <c r="C304" s="74" t="b">
        <f t="shared" si="11"/>
        <v>1</v>
      </c>
      <c r="D304" s="84"/>
      <c r="E304" s="84" t="s">
        <v>310</v>
      </c>
      <c r="F304" s="85" t="s">
        <v>285</v>
      </c>
      <c r="G304" s="84" t="s">
        <v>240</v>
      </c>
      <c r="H304" s="85" t="s">
        <v>286</v>
      </c>
      <c r="I304" s="85" t="s">
        <v>232</v>
      </c>
      <c r="J304" s="69"/>
      <c r="K304" s="86" t="s">
        <v>959</v>
      </c>
    </row>
    <row r="305" spans="1:11">
      <c r="A305" s="72" t="s">
        <v>715</v>
      </c>
      <c r="B305" s="73" t="str">
        <f t="shared" si="10"/>
        <v>R</v>
      </c>
      <c r="C305" s="74" t="b">
        <f t="shared" si="11"/>
        <v>1</v>
      </c>
      <c r="D305" s="84"/>
      <c r="E305" s="84" t="s">
        <v>314</v>
      </c>
      <c r="F305" s="85" t="s">
        <v>285</v>
      </c>
      <c r="G305" s="84" t="s">
        <v>240</v>
      </c>
      <c r="H305" s="85" t="s">
        <v>286</v>
      </c>
      <c r="I305" s="85" t="s">
        <v>232</v>
      </c>
      <c r="J305" s="69"/>
      <c r="K305" s="86" t="s">
        <v>959</v>
      </c>
    </row>
    <row r="306" spans="1:11">
      <c r="A306" s="72" t="s">
        <v>716</v>
      </c>
      <c r="B306" s="73" t="str">
        <f t="shared" si="10"/>
        <v>R</v>
      </c>
      <c r="C306" s="74" t="b">
        <f t="shared" si="11"/>
        <v>1</v>
      </c>
      <c r="D306" s="84"/>
      <c r="E306" s="84" t="s">
        <v>316</v>
      </c>
      <c r="F306" s="85" t="s">
        <v>285</v>
      </c>
      <c r="G306" s="84" t="s">
        <v>240</v>
      </c>
      <c r="H306" s="85" t="s">
        <v>286</v>
      </c>
      <c r="I306" s="85" t="s">
        <v>232</v>
      </c>
      <c r="J306" s="69"/>
      <c r="K306" s="86" t="s">
        <v>959</v>
      </c>
    </row>
    <row r="307" spans="1:11">
      <c r="A307" s="72" t="s">
        <v>717</v>
      </c>
      <c r="B307" s="73" t="str">
        <f t="shared" si="10"/>
        <v>R</v>
      </c>
      <c r="C307" s="74" t="b">
        <f t="shared" si="11"/>
        <v>1</v>
      </c>
      <c r="D307" s="84"/>
      <c r="E307" s="84" t="s">
        <v>347</v>
      </c>
      <c r="F307" s="85" t="s">
        <v>285</v>
      </c>
      <c r="G307" s="84" t="s">
        <v>240</v>
      </c>
      <c r="H307" s="85" t="s">
        <v>286</v>
      </c>
      <c r="I307" s="85" t="s">
        <v>232</v>
      </c>
      <c r="J307" s="69"/>
      <c r="K307" s="86" t="s">
        <v>959</v>
      </c>
    </row>
    <row r="308" spans="1:11">
      <c r="A308" s="72" t="s">
        <v>718</v>
      </c>
      <c r="B308" s="73" t="str">
        <f t="shared" si="10"/>
        <v>R</v>
      </c>
      <c r="C308" s="74" t="b">
        <f t="shared" si="11"/>
        <v>1</v>
      </c>
      <c r="D308" s="84"/>
      <c r="E308" s="84" t="s">
        <v>348</v>
      </c>
      <c r="F308" s="85" t="s">
        <v>285</v>
      </c>
      <c r="G308" s="84" t="s">
        <v>240</v>
      </c>
      <c r="H308" s="85" t="s">
        <v>286</v>
      </c>
      <c r="I308" s="85" t="s">
        <v>232</v>
      </c>
      <c r="J308" s="69"/>
      <c r="K308" s="86" t="s">
        <v>959</v>
      </c>
    </row>
    <row r="309" spans="1:11">
      <c r="A309" s="72" t="s">
        <v>719</v>
      </c>
      <c r="B309" s="73" t="str">
        <f t="shared" si="10"/>
        <v>R</v>
      </c>
      <c r="C309" s="74" t="b">
        <f t="shared" si="11"/>
        <v>1</v>
      </c>
      <c r="D309" s="84"/>
      <c r="E309" s="84" t="s">
        <v>317</v>
      </c>
      <c r="F309" s="85" t="s">
        <v>285</v>
      </c>
      <c r="G309" s="84" t="s">
        <v>240</v>
      </c>
      <c r="H309" s="85" t="s">
        <v>286</v>
      </c>
      <c r="I309" s="85" t="s">
        <v>232</v>
      </c>
      <c r="J309" s="69"/>
      <c r="K309" s="86" t="s">
        <v>959</v>
      </c>
    </row>
    <row r="310" spans="1:11">
      <c r="A310" s="72" t="s">
        <v>720</v>
      </c>
      <c r="B310" s="73" t="str">
        <f t="shared" si="10"/>
        <v>R</v>
      </c>
      <c r="C310" s="74" t="b">
        <f t="shared" si="11"/>
        <v>1</v>
      </c>
      <c r="D310" s="84"/>
      <c r="E310" s="84" t="s">
        <v>318</v>
      </c>
      <c r="F310" s="85" t="s">
        <v>285</v>
      </c>
      <c r="G310" s="84" t="s">
        <v>240</v>
      </c>
      <c r="H310" s="85" t="s">
        <v>286</v>
      </c>
      <c r="I310" s="85" t="s">
        <v>232</v>
      </c>
      <c r="J310" s="69"/>
      <c r="K310" s="86" t="s">
        <v>959</v>
      </c>
    </row>
    <row r="311" spans="1:11">
      <c r="A311" s="72" t="s">
        <v>721</v>
      </c>
      <c r="B311" s="73" t="str">
        <f t="shared" si="10"/>
        <v>R</v>
      </c>
      <c r="C311" s="74" t="b">
        <f t="shared" si="11"/>
        <v>1</v>
      </c>
      <c r="D311" s="84"/>
      <c r="E311" s="84" t="s">
        <v>319</v>
      </c>
      <c r="F311" s="85" t="s">
        <v>285</v>
      </c>
      <c r="G311" s="84" t="s">
        <v>240</v>
      </c>
      <c r="H311" s="85" t="s">
        <v>286</v>
      </c>
      <c r="I311" s="85" t="s">
        <v>232</v>
      </c>
      <c r="J311" s="69"/>
      <c r="K311" s="86" t="s">
        <v>959</v>
      </c>
    </row>
    <row r="312" spans="1:11">
      <c r="A312" s="72" t="s">
        <v>722</v>
      </c>
      <c r="B312" s="73" t="str">
        <f t="shared" si="10"/>
        <v>R</v>
      </c>
      <c r="C312" s="74" t="b">
        <f t="shared" si="11"/>
        <v>1</v>
      </c>
      <c r="D312" s="84"/>
      <c r="E312" s="84" t="s">
        <v>683</v>
      </c>
      <c r="F312" s="85" t="s">
        <v>285</v>
      </c>
      <c r="G312" s="84" t="s">
        <v>240</v>
      </c>
      <c r="H312" s="85" t="s">
        <v>286</v>
      </c>
      <c r="I312" s="85" t="s">
        <v>232</v>
      </c>
      <c r="J312" s="69"/>
      <c r="K312" s="86" t="s">
        <v>959</v>
      </c>
    </row>
    <row r="313" spans="1:11">
      <c r="A313" s="72" t="s">
        <v>723</v>
      </c>
      <c r="B313" s="73" t="str">
        <f t="shared" si="10"/>
        <v>R</v>
      </c>
      <c r="C313" s="74" t="b">
        <f t="shared" si="11"/>
        <v>1</v>
      </c>
      <c r="D313" s="84"/>
      <c r="E313" s="84" t="s">
        <v>691</v>
      </c>
      <c r="F313" s="85" t="s">
        <v>285</v>
      </c>
      <c r="G313" s="84" t="s">
        <v>240</v>
      </c>
      <c r="H313" s="85" t="s">
        <v>286</v>
      </c>
      <c r="I313" s="85" t="s">
        <v>232</v>
      </c>
      <c r="J313" s="69"/>
      <c r="K313" s="86" t="s">
        <v>959</v>
      </c>
    </row>
    <row r="314" spans="1:11">
      <c r="A314" s="72" t="s">
        <v>724</v>
      </c>
      <c r="B314" s="73" t="str">
        <f t="shared" si="10"/>
        <v>R</v>
      </c>
      <c r="C314" s="74" t="b">
        <f t="shared" si="11"/>
        <v>1</v>
      </c>
      <c r="D314" s="84"/>
      <c r="E314" s="84" t="s">
        <v>698</v>
      </c>
      <c r="F314" s="85" t="s">
        <v>285</v>
      </c>
      <c r="G314" s="84" t="s">
        <v>240</v>
      </c>
      <c r="H314" s="85" t="s">
        <v>286</v>
      </c>
      <c r="I314" s="85" t="s">
        <v>232</v>
      </c>
      <c r="J314" s="69"/>
      <c r="K314" s="86" t="s">
        <v>959</v>
      </c>
    </row>
    <row r="315" spans="1:11">
      <c r="A315" s="72" t="s">
        <v>725</v>
      </c>
      <c r="B315" s="73" t="str">
        <f t="shared" si="10"/>
        <v>R</v>
      </c>
      <c r="C315" s="74" t="b">
        <f t="shared" si="11"/>
        <v>1</v>
      </c>
      <c r="D315" s="84"/>
      <c r="E315" s="84" t="s">
        <v>701</v>
      </c>
      <c r="F315" s="85" t="s">
        <v>285</v>
      </c>
      <c r="G315" s="84" t="s">
        <v>240</v>
      </c>
      <c r="H315" s="85" t="s">
        <v>286</v>
      </c>
      <c r="I315" s="85" t="s">
        <v>232</v>
      </c>
      <c r="J315" s="69"/>
      <c r="K315" s="86" t="s">
        <v>959</v>
      </c>
    </row>
    <row r="316" spans="1:11">
      <c r="A316" s="72" t="s">
        <v>726</v>
      </c>
      <c r="B316" s="73" t="str">
        <f t="shared" si="10"/>
        <v>R</v>
      </c>
      <c r="C316" s="74" t="b">
        <f t="shared" si="11"/>
        <v>1</v>
      </c>
      <c r="D316" s="84"/>
      <c r="E316" s="84" t="s">
        <v>688</v>
      </c>
      <c r="F316" s="85" t="s">
        <v>285</v>
      </c>
      <c r="G316" s="84" t="s">
        <v>240</v>
      </c>
      <c r="H316" s="85" t="s">
        <v>286</v>
      </c>
      <c r="I316" s="85" t="s">
        <v>232</v>
      </c>
      <c r="J316" s="69"/>
      <c r="K316" s="86" t="s">
        <v>959</v>
      </c>
    </row>
    <row r="317" spans="1:11">
      <c r="A317" s="72" t="s">
        <v>727</v>
      </c>
      <c r="B317" s="73" t="str">
        <f t="shared" si="10"/>
        <v>R</v>
      </c>
      <c r="C317" s="74" t="b">
        <f t="shared" si="11"/>
        <v>1</v>
      </c>
      <c r="D317" s="84"/>
      <c r="E317" s="84" t="s">
        <v>689</v>
      </c>
      <c r="F317" s="85" t="s">
        <v>285</v>
      </c>
      <c r="G317" s="84" t="s">
        <v>240</v>
      </c>
      <c r="H317" s="85" t="s">
        <v>286</v>
      </c>
      <c r="I317" s="85" t="s">
        <v>232</v>
      </c>
      <c r="J317" s="69"/>
      <c r="K317" s="86" t="s">
        <v>959</v>
      </c>
    </row>
    <row r="318" spans="1:11">
      <c r="A318" s="72" t="s">
        <v>728</v>
      </c>
      <c r="B318" s="73" t="str">
        <f t="shared" si="10"/>
        <v>R</v>
      </c>
      <c r="C318" s="74" t="b">
        <f t="shared" si="11"/>
        <v>1</v>
      </c>
      <c r="D318" s="84"/>
      <c r="E318" s="84" t="s">
        <v>690</v>
      </c>
      <c r="F318" s="85" t="s">
        <v>285</v>
      </c>
      <c r="G318" s="84" t="s">
        <v>240</v>
      </c>
      <c r="H318" s="85" t="s">
        <v>286</v>
      </c>
      <c r="I318" s="85" t="s">
        <v>232</v>
      </c>
      <c r="J318" s="69"/>
      <c r="K318" s="86" t="s">
        <v>959</v>
      </c>
    </row>
    <row r="319" spans="1:11">
      <c r="A319" s="72" t="s">
        <v>729</v>
      </c>
      <c r="B319" s="73" t="str">
        <f t="shared" si="10"/>
        <v>R</v>
      </c>
      <c r="C319" s="74" t="b">
        <f t="shared" si="11"/>
        <v>1</v>
      </c>
      <c r="D319" s="84"/>
      <c r="E319" s="84" t="s">
        <v>881</v>
      </c>
      <c r="F319" s="85" t="s">
        <v>285</v>
      </c>
      <c r="G319" s="84" t="s">
        <v>240</v>
      </c>
      <c r="H319" s="85" t="s">
        <v>286</v>
      </c>
      <c r="I319" s="85" t="s">
        <v>232</v>
      </c>
      <c r="J319" s="69"/>
      <c r="K319" s="86" t="s">
        <v>959</v>
      </c>
    </row>
    <row r="320" spans="1:11">
      <c r="A320" s="72" t="s">
        <v>730</v>
      </c>
      <c r="B320" s="73" t="str">
        <f t="shared" si="10"/>
        <v>R</v>
      </c>
      <c r="C320" s="74" t="b">
        <f t="shared" si="11"/>
        <v>1</v>
      </c>
      <c r="D320" s="84"/>
      <c r="E320" s="84" t="s">
        <v>882</v>
      </c>
      <c r="F320" s="85" t="s">
        <v>285</v>
      </c>
      <c r="G320" s="84" t="s">
        <v>240</v>
      </c>
      <c r="H320" s="85" t="s">
        <v>286</v>
      </c>
      <c r="I320" s="85" t="s">
        <v>232</v>
      </c>
      <c r="J320" s="69"/>
      <c r="K320" s="86" t="s">
        <v>959</v>
      </c>
    </row>
    <row r="321" spans="1:11">
      <c r="A321" s="72" t="s">
        <v>731</v>
      </c>
      <c r="B321" s="73" t="str">
        <f t="shared" si="10"/>
        <v>R</v>
      </c>
      <c r="C321" s="74" t="b">
        <f t="shared" si="11"/>
        <v>1</v>
      </c>
      <c r="D321" s="84"/>
      <c r="E321" s="84" t="s">
        <v>883</v>
      </c>
      <c r="F321" s="85" t="s">
        <v>285</v>
      </c>
      <c r="G321" s="84" t="s">
        <v>240</v>
      </c>
      <c r="H321" s="85" t="s">
        <v>286</v>
      </c>
      <c r="I321" s="85" t="s">
        <v>232</v>
      </c>
      <c r="J321" s="69"/>
      <c r="K321" s="86" t="s">
        <v>959</v>
      </c>
    </row>
    <row r="322" spans="1:11">
      <c r="A322" s="72" t="s">
        <v>732</v>
      </c>
      <c r="B322" s="73" t="str">
        <f t="shared" si="10"/>
        <v>R</v>
      </c>
      <c r="C322" s="74" t="b">
        <f t="shared" si="11"/>
        <v>1</v>
      </c>
      <c r="D322" s="84"/>
      <c r="E322" s="84" t="s">
        <v>884</v>
      </c>
      <c r="F322" s="85" t="s">
        <v>285</v>
      </c>
      <c r="G322" s="84" t="s">
        <v>240</v>
      </c>
      <c r="H322" s="85" t="s">
        <v>286</v>
      </c>
      <c r="I322" s="85" t="s">
        <v>232</v>
      </c>
      <c r="J322" s="69"/>
      <c r="K322" s="86" t="s">
        <v>959</v>
      </c>
    </row>
    <row r="323" spans="1:11">
      <c r="A323" s="72" t="s">
        <v>733</v>
      </c>
      <c r="B323" s="73" t="str">
        <f t="shared" si="10"/>
        <v>R</v>
      </c>
      <c r="C323" s="74" t="b">
        <f t="shared" si="11"/>
        <v>1</v>
      </c>
      <c r="D323" s="84"/>
      <c r="E323" s="84" t="s">
        <v>885</v>
      </c>
      <c r="F323" s="85" t="s">
        <v>285</v>
      </c>
      <c r="G323" s="84" t="s">
        <v>240</v>
      </c>
      <c r="H323" s="85" t="s">
        <v>286</v>
      </c>
      <c r="I323" s="85" t="s">
        <v>232</v>
      </c>
      <c r="J323" s="69"/>
      <c r="K323" s="86" t="s">
        <v>959</v>
      </c>
    </row>
    <row r="324" spans="1:11">
      <c r="A324" s="72" t="s">
        <v>734</v>
      </c>
      <c r="B324" s="73" t="str">
        <f t="shared" si="10"/>
        <v>R</v>
      </c>
      <c r="C324" s="74" t="b">
        <f t="shared" si="11"/>
        <v>1</v>
      </c>
      <c r="D324" s="84"/>
      <c r="E324" s="84" t="s">
        <v>886</v>
      </c>
      <c r="F324" s="85" t="s">
        <v>285</v>
      </c>
      <c r="G324" s="84" t="s">
        <v>240</v>
      </c>
      <c r="H324" s="85" t="s">
        <v>286</v>
      </c>
      <c r="I324" s="85" t="s">
        <v>232</v>
      </c>
      <c r="J324" s="69"/>
      <c r="K324" s="86" t="s">
        <v>959</v>
      </c>
    </row>
    <row r="325" spans="1:11">
      <c r="A325" s="72" t="s">
        <v>735</v>
      </c>
      <c r="B325" s="73" t="str">
        <f t="shared" si="10"/>
        <v>R</v>
      </c>
      <c r="C325" s="74" t="b">
        <f t="shared" si="11"/>
        <v>1</v>
      </c>
      <c r="D325" s="84"/>
      <c r="E325" s="84" t="s">
        <v>887</v>
      </c>
      <c r="F325" s="85" t="s">
        <v>285</v>
      </c>
      <c r="G325" s="84" t="s">
        <v>240</v>
      </c>
      <c r="H325" s="85" t="s">
        <v>286</v>
      </c>
      <c r="I325" s="85" t="s">
        <v>232</v>
      </c>
      <c r="J325" s="69"/>
      <c r="K325" s="86" t="s">
        <v>959</v>
      </c>
    </row>
    <row r="326" spans="1:11">
      <c r="A326" s="72" t="s">
        <v>736</v>
      </c>
      <c r="B326" s="73" t="str">
        <f t="shared" si="10"/>
        <v>R</v>
      </c>
      <c r="C326" s="74" t="b">
        <f t="shared" si="11"/>
        <v>1</v>
      </c>
      <c r="D326" s="84"/>
      <c r="E326" s="84" t="s">
        <v>888</v>
      </c>
      <c r="F326" s="85" t="s">
        <v>285</v>
      </c>
      <c r="G326" s="84" t="s">
        <v>240</v>
      </c>
      <c r="H326" s="85" t="s">
        <v>286</v>
      </c>
      <c r="I326" s="85" t="s">
        <v>232</v>
      </c>
      <c r="J326" s="69"/>
      <c r="K326" s="86" t="s">
        <v>959</v>
      </c>
    </row>
    <row r="327" spans="1:11">
      <c r="A327" s="72" t="s">
        <v>737</v>
      </c>
      <c r="B327" s="73" t="str">
        <f t="shared" si="10"/>
        <v>R</v>
      </c>
      <c r="C327" s="74" t="b">
        <f t="shared" si="11"/>
        <v>1</v>
      </c>
      <c r="D327" s="84"/>
      <c r="E327" s="84" t="s">
        <v>889</v>
      </c>
      <c r="F327" s="85" t="s">
        <v>285</v>
      </c>
      <c r="G327" s="84" t="s">
        <v>240</v>
      </c>
      <c r="H327" s="85" t="s">
        <v>286</v>
      </c>
      <c r="I327" s="85" t="s">
        <v>232</v>
      </c>
      <c r="J327" s="69"/>
      <c r="K327" s="86" t="s">
        <v>959</v>
      </c>
    </row>
    <row r="328" spans="1:11">
      <c r="A328" s="72" t="s">
        <v>738</v>
      </c>
      <c r="B328" s="73" t="str">
        <f t="shared" si="10"/>
        <v>R</v>
      </c>
      <c r="C328" s="74" t="b">
        <f t="shared" si="11"/>
        <v>1</v>
      </c>
      <c r="D328" s="84"/>
      <c r="E328" s="84" t="s">
        <v>890</v>
      </c>
      <c r="F328" s="85" t="s">
        <v>285</v>
      </c>
      <c r="G328" s="84" t="s">
        <v>240</v>
      </c>
      <c r="H328" s="85" t="s">
        <v>286</v>
      </c>
      <c r="I328" s="85" t="s">
        <v>232</v>
      </c>
      <c r="J328" s="69"/>
      <c r="K328" s="86" t="s">
        <v>959</v>
      </c>
    </row>
    <row r="329" spans="1:11">
      <c r="A329" s="72" t="s">
        <v>983</v>
      </c>
      <c r="B329" s="73" t="str">
        <f t="shared" si="10"/>
        <v>R</v>
      </c>
      <c r="C329" s="74" t="b">
        <f t="shared" si="11"/>
        <v>1</v>
      </c>
      <c r="D329" s="84"/>
      <c r="E329" s="84" t="s">
        <v>891</v>
      </c>
      <c r="F329" s="85" t="s">
        <v>285</v>
      </c>
      <c r="G329" s="84" t="s">
        <v>240</v>
      </c>
      <c r="H329" s="85" t="s">
        <v>286</v>
      </c>
      <c r="I329" s="85" t="s">
        <v>232</v>
      </c>
      <c r="J329" s="69"/>
      <c r="K329" s="86" t="s">
        <v>959</v>
      </c>
    </row>
    <row r="330" spans="1:11">
      <c r="A330" s="72" t="s">
        <v>984</v>
      </c>
      <c r="B330" s="73" t="str">
        <f t="shared" si="10"/>
        <v>R</v>
      </c>
      <c r="C330" s="74" t="b">
        <f t="shared" si="11"/>
        <v>0</v>
      </c>
      <c r="D330" s="84">
        <v>2</v>
      </c>
      <c r="E330" s="84" t="s">
        <v>293</v>
      </c>
      <c r="F330" s="85" t="s">
        <v>892</v>
      </c>
      <c r="G330" s="84" t="s">
        <v>240</v>
      </c>
      <c r="H330" s="85" t="s">
        <v>893</v>
      </c>
      <c r="I330" s="85" t="s">
        <v>232</v>
      </c>
      <c r="J330" s="69"/>
      <c r="K330" s="86" t="s">
        <v>959</v>
      </c>
    </row>
    <row r="331" spans="1:11">
      <c r="A331" s="72" t="s">
        <v>985</v>
      </c>
      <c r="B331" s="73" t="str">
        <f t="shared" si="10"/>
        <v>R</v>
      </c>
      <c r="C331" s="74" t="b">
        <f t="shared" si="11"/>
        <v>0</v>
      </c>
      <c r="D331" s="84"/>
      <c r="E331" s="84" t="s">
        <v>294</v>
      </c>
      <c r="F331" s="85" t="s">
        <v>892</v>
      </c>
      <c r="G331" s="84" t="s">
        <v>240</v>
      </c>
      <c r="H331" s="85" t="s">
        <v>893</v>
      </c>
      <c r="I331" s="85" t="s">
        <v>232</v>
      </c>
      <c r="J331" s="69"/>
      <c r="K331" s="86" t="s">
        <v>959</v>
      </c>
    </row>
    <row r="332" spans="1:11">
      <c r="A332" s="72" t="s">
        <v>986</v>
      </c>
      <c r="B332" s="73" t="str">
        <f t="shared" si="10"/>
        <v>R</v>
      </c>
      <c r="C332" s="74" t="b">
        <f t="shared" si="11"/>
        <v>1</v>
      </c>
      <c r="D332" s="84">
        <v>3</v>
      </c>
      <c r="E332" s="84" t="s">
        <v>295</v>
      </c>
      <c r="F332" s="85" t="s">
        <v>350</v>
      </c>
      <c r="G332" s="84" t="s">
        <v>240</v>
      </c>
      <c r="H332" s="85" t="s">
        <v>351</v>
      </c>
      <c r="I332" s="85" t="s">
        <v>232</v>
      </c>
      <c r="J332" s="69"/>
      <c r="K332" s="86" t="s">
        <v>959</v>
      </c>
    </row>
    <row r="333" spans="1:11">
      <c r="A333" s="72" t="s">
        <v>987</v>
      </c>
      <c r="B333" s="73" t="str">
        <f t="shared" si="10"/>
        <v>R</v>
      </c>
      <c r="C333" s="74" t="b">
        <f t="shared" si="11"/>
        <v>1</v>
      </c>
      <c r="D333" s="84"/>
      <c r="E333" s="84" t="s">
        <v>281</v>
      </c>
      <c r="F333" s="85" t="s">
        <v>350</v>
      </c>
      <c r="G333" s="84" t="s">
        <v>240</v>
      </c>
      <c r="H333" s="85" t="s">
        <v>351</v>
      </c>
      <c r="I333" s="85" t="s">
        <v>232</v>
      </c>
      <c r="J333" s="69"/>
      <c r="K333" s="86" t="s">
        <v>959</v>
      </c>
    </row>
    <row r="334" spans="1:11">
      <c r="A334" s="72" t="s">
        <v>988</v>
      </c>
      <c r="B334" s="73" t="str">
        <f t="shared" si="10"/>
        <v>R</v>
      </c>
      <c r="C334" s="74" t="b">
        <f t="shared" si="11"/>
        <v>1</v>
      </c>
      <c r="D334" s="84"/>
      <c r="E334" s="84" t="s">
        <v>333</v>
      </c>
      <c r="F334" s="85" t="s">
        <v>350</v>
      </c>
      <c r="G334" s="84" t="s">
        <v>240</v>
      </c>
      <c r="H334" s="85" t="s">
        <v>351</v>
      </c>
      <c r="I334" s="85" t="s">
        <v>232</v>
      </c>
      <c r="J334" s="69"/>
      <c r="K334" s="86" t="s">
        <v>959</v>
      </c>
    </row>
    <row r="335" spans="1:11">
      <c r="A335" s="72" t="s">
        <v>989</v>
      </c>
      <c r="B335" s="73" t="str">
        <f t="shared" si="10"/>
        <v>R</v>
      </c>
      <c r="C335" s="74" t="b">
        <f t="shared" si="11"/>
        <v>0</v>
      </c>
      <c r="D335" s="84">
        <v>1</v>
      </c>
      <c r="E335" s="84" t="s">
        <v>243</v>
      </c>
      <c r="F335" s="85" t="s">
        <v>894</v>
      </c>
      <c r="G335" s="84" t="s">
        <v>237</v>
      </c>
      <c r="H335" s="85" t="s">
        <v>895</v>
      </c>
      <c r="I335" s="85" t="s">
        <v>232</v>
      </c>
      <c r="J335" s="69"/>
      <c r="K335" s="86" t="s">
        <v>959</v>
      </c>
    </row>
    <row r="336" spans="1:11">
      <c r="A336" s="72" t="s">
        <v>990</v>
      </c>
      <c r="B336" s="73" t="str">
        <f t="shared" si="10"/>
        <v>R</v>
      </c>
      <c r="C336" s="74" t="b">
        <f t="shared" si="11"/>
        <v>1</v>
      </c>
      <c r="D336" s="84">
        <v>2</v>
      </c>
      <c r="E336" s="84" t="s">
        <v>245</v>
      </c>
      <c r="F336" s="85" t="s">
        <v>896</v>
      </c>
      <c r="G336" s="84" t="s">
        <v>240</v>
      </c>
      <c r="H336" s="85" t="s">
        <v>897</v>
      </c>
      <c r="I336" s="85" t="s">
        <v>232</v>
      </c>
      <c r="J336" s="69"/>
      <c r="K336" s="86" t="s">
        <v>959</v>
      </c>
    </row>
    <row r="337" spans="1:11">
      <c r="A337" s="72" t="s">
        <v>991</v>
      </c>
      <c r="B337" s="73" t="str">
        <f t="shared" si="10"/>
        <v>R</v>
      </c>
      <c r="C337" s="74" t="b">
        <f t="shared" si="11"/>
        <v>1</v>
      </c>
      <c r="D337" s="84"/>
      <c r="E337" s="84" t="s">
        <v>297</v>
      </c>
      <c r="F337" s="85" t="s">
        <v>896</v>
      </c>
      <c r="G337" s="84" t="s">
        <v>240</v>
      </c>
      <c r="H337" s="85" t="s">
        <v>897</v>
      </c>
      <c r="I337" s="85" t="s">
        <v>232</v>
      </c>
      <c r="J337" s="69"/>
      <c r="K337" s="86" t="s">
        <v>959</v>
      </c>
    </row>
    <row r="338" spans="1:11">
      <c r="A338" s="72" t="s">
        <v>992</v>
      </c>
      <c r="B338" s="73" t="str">
        <f t="shared" si="10"/>
        <v>R</v>
      </c>
      <c r="C338" s="74" t="b">
        <f t="shared" si="11"/>
        <v>0</v>
      </c>
      <c r="D338" s="84">
        <v>5</v>
      </c>
      <c r="E338" s="84" t="s">
        <v>247</v>
      </c>
      <c r="F338" s="85" t="s">
        <v>143</v>
      </c>
      <c r="G338" s="84" t="s">
        <v>240</v>
      </c>
      <c r="H338" s="85"/>
      <c r="I338" s="85" t="s">
        <v>232</v>
      </c>
      <c r="J338" s="69"/>
      <c r="K338" s="86" t="s">
        <v>959</v>
      </c>
    </row>
    <row r="339" spans="1:11">
      <c r="A339" s="72" t="s">
        <v>993</v>
      </c>
      <c r="B339" s="73" t="str">
        <f t="shared" si="10"/>
        <v>R</v>
      </c>
      <c r="C339" s="74" t="b">
        <f t="shared" si="11"/>
        <v>0</v>
      </c>
      <c r="D339" s="84"/>
      <c r="E339" s="84" t="s">
        <v>898</v>
      </c>
      <c r="F339" s="85" t="s">
        <v>143</v>
      </c>
      <c r="G339" s="84" t="s">
        <v>240</v>
      </c>
      <c r="H339" s="85"/>
      <c r="I339" s="85" t="s">
        <v>232</v>
      </c>
      <c r="J339" s="69"/>
      <c r="K339" s="86" t="s">
        <v>959</v>
      </c>
    </row>
    <row r="340" spans="1:11">
      <c r="A340" s="72" t="s">
        <v>994</v>
      </c>
      <c r="B340" s="73" t="str">
        <f t="shared" si="10"/>
        <v>R</v>
      </c>
      <c r="C340" s="74" t="b">
        <f t="shared" si="11"/>
        <v>0</v>
      </c>
      <c r="D340" s="84"/>
      <c r="E340" s="84" t="s">
        <v>687</v>
      </c>
      <c r="F340" s="85" t="s">
        <v>143</v>
      </c>
      <c r="G340" s="84" t="s">
        <v>240</v>
      </c>
      <c r="H340" s="85"/>
      <c r="I340" s="85" t="s">
        <v>232</v>
      </c>
      <c r="J340" s="69"/>
      <c r="K340" s="86" t="s">
        <v>959</v>
      </c>
    </row>
    <row r="341" spans="1:11">
      <c r="A341" s="72" t="s">
        <v>995</v>
      </c>
      <c r="B341" s="73" t="str">
        <f t="shared" ref="B341:B404" si="12">IF(AND(MID(E341,2,1)&gt;="A",MID(E341,2,1)&lt;="Z"),LEFT(E341,2),LEFT(E341,1))</f>
        <v>R</v>
      </c>
      <c r="C341" s="74" t="b">
        <f t="shared" ref="C341:C404" si="13">IF(D341&lt;&gt;"",NOT(C340),C340)</f>
        <v>0</v>
      </c>
      <c r="D341" s="84"/>
      <c r="E341" s="84" t="s">
        <v>899</v>
      </c>
      <c r="F341" s="85" t="s">
        <v>143</v>
      </c>
      <c r="G341" s="84" t="s">
        <v>240</v>
      </c>
      <c r="H341" s="85"/>
      <c r="I341" s="85" t="s">
        <v>232</v>
      </c>
      <c r="J341" s="69"/>
      <c r="K341" s="86" t="s">
        <v>959</v>
      </c>
    </row>
    <row r="342" spans="1:11">
      <c r="A342" s="72" t="s">
        <v>996</v>
      </c>
      <c r="B342" s="73" t="str">
        <f t="shared" si="12"/>
        <v>R</v>
      </c>
      <c r="C342" s="74" t="b">
        <f t="shared" si="13"/>
        <v>0</v>
      </c>
      <c r="D342" s="84"/>
      <c r="E342" s="84" t="s">
        <v>900</v>
      </c>
      <c r="F342" s="85" t="s">
        <v>143</v>
      </c>
      <c r="G342" s="84" t="s">
        <v>240</v>
      </c>
      <c r="H342" s="85"/>
      <c r="I342" s="85" t="s">
        <v>232</v>
      </c>
      <c r="J342" s="69"/>
      <c r="K342" s="86" t="s">
        <v>959</v>
      </c>
    </row>
    <row r="343" spans="1:11">
      <c r="A343" s="72" t="s">
        <v>997</v>
      </c>
      <c r="B343" s="73" t="str">
        <f t="shared" si="12"/>
        <v>R</v>
      </c>
      <c r="C343" s="74" t="b">
        <f t="shared" si="13"/>
        <v>1</v>
      </c>
      <c r="D343" s="84">
        <v>7</v>
      </c>
      <c r="E343" s="84" t="s">
        <v>263</v>
      </c>
      <c r="F343" s="85" t="s">
        <v>271</v>
      </c>
      <c r="G343" s="84" t="s">
        <v>240</v>
      </c>
      <c r="H343" s="85" t="s">
        <v>272</v>
      </c>
      <c r="I343" s="85" t="s">
        <v>232</v>
      </c>
      <c r="J343" s="69"/>
      <c r="K343" s="86" t="s">
        <v>959</v>
      </c>
    </row>
    <row r="344" spans="1:11">
      <c r="A344" s="72" t="s">
        <v>998</v>
      </c>
      <c r="B344" s="73" t="str">
        <f t="shared" si="12"/>
        <v>R</v>
      </c>
      <c r="C344" s="74" t="b">
        <f t="shared" si="13"/>
        <v>1</v>
      </c>
      <c r="D344" s="84"/>
      <c r="E344" s="84" t="s">
        <v>303</v>
      </c>
      <c r="F344" s="85" t="s">
        <v>271</v>
      </c>
      <c r="G344" s="84" t="s">
        <v>240</v>
      </c>
      <c r="H344" s="85" t="s">
        <v>272</v>
      </c>
      <c r="I344" s="85" t="s">
        <v>232</v>
      </c>
      <c r="J344" s="69"/>
      <c r="K344" s="86" t="s">
        <v>959</v>
      </c>
    </row>
    <row r="345" spans="1:11">
      <c r="A345" s="72" t="s">
        <v>999</v>
      </c>
      <c r="B345" s="73" t="str">
        <f t="shared" si="12"/>
        <v>R</v>
      </c>
      <c r="C345" s="74" t="b">
        <f t="shared" si="13"/>
        <v>1</v>
      </c>
      <c r="D345" s="84"/>
      <c r="E345" s="84" t="s">
        <v>304</v>
      </c>
      <c r="F345" s="85" t="s">
        <v>271</v>
      </c>
      <c r="G345" s="84" t="s">
        <v>240</v>
      </c>
      <c r="H345" s="85" t="s">
        <v>272</v>
      </c>
      <c r="I345" s="85" t="s">
        <v>232</v>
      </c>
      <c r="J345" s="69"/>
      <c r="K345" s="86" t="s">
        <v>959</v>
      </c>
    </row>
    <row r="346" spans="1:11">
      <c r="A346" s="72" t="s">
        <v>1000</v>
      </c>
      <c r="B346" s="73" t="str">
        <f t="shared" si="12"/>
        <v>R</v>
      </c>
      <c r="C346" s="74" t="b">
        <f t="shared" si="13"/>
        <v>1</v>
      </c>
      <c r="D346" s="84"/>
      <c r="E346" s="84" t="s">
        <v>257</v>
      </c>
      <c r="F346" s="85" t="s">
        <v>271</v>
      </c>
      <c r="G346" s="84" t="s">
        <v>240</v>
      </c>
      <c r="H346" s="85" t="s">
        <v>272</v>
      </c>
      <c r="I346" s="85" t="s">
        <v>232</v>
      </c>
      <c r="J346" s="69"/>
      <c r="K346" s="86" t="s">
        <v>959</v>
      </c>
    </row>
    <row r="347" spans="1:11">
      <c r="A347" s="72" t="s">
        <v>1001</v>
      </c>
      <c r="B347" s="73" t="str">
        <f t="shared" si="12"/>
        <v>R</v>
      </c>
      <c r="C347" s="74" t="b">
        <f t="shared" si="13"/>
        <v>1</v>
      </c>
      <c r="D347" s="84"/>
      <c r="E347" s="84" t="s">
        <v>686</v>
      </c>
      <c r="F347" s="85" t="s">
        <v>271</v>
      </c>
      <c r="G347" s="84" t="s">
        <v>240</v>
      </c>
      <c r="H347" s="85" t="s">
        <v>272</v>
      </c>
      <c r="I347" s="85" t="s">
        <v>232</v>
      </c>
      <c r="J347" s="69"/>
      <c r="K347" s="86" t="s">
        <v>959</v>
      </c>
    </row>
    <row r="348" spans="1:11">
      <c r="A348" s="72" t="s">
        <v>1002</v>
      </c>
      <c r="B348" s="73" t="str">
        <f t="shared" si="12"/>
        <v>R</v>
      </c>
      <c r="C348" s="74" t="b">
        <f t="shared" si="13"/>
        <v>1</v>
      </c>
      <c r="D348" s="84"/>
      <c r="E348" s="84" t="s">
        <v>901</v>
      </c>
      <c r="F348" s="85" t="s">
        <v>271</v>
      </c>
      <c r="G348" s="84" t="s">
        <v>240</v>
      </c>
      <c r="H348" s="85" t="s">
        <v>272</v>
      </c>
      <c r="I348" s="85" t="s">
        <v>232</v>
      </c>
      <c r="J348" s="69"/>
      <c r="K348" s="86" t="s">
        <v>959</v>
      </c>
    </row>
    <row r="349" spans="1:11">
      <c r="A349" s="72" t="s">
        <v>1003</v>
      </c>
      <c r="B349" s="73" t="str">
        <f t="shared" si="12"/>
        <v>R</v>
      </c>
      <c r="C349" s="74" t="b">
        <f t="shared" si="13"/>
        <v>1</v>
      </c>
      <c r="D349" s="84"/>
      <c r="E349" s="84" t="s">
        <v>694</v>
      </c>
      <c r="F349" s="85" t="s">
        <v>271</v>
      </c>
      <c r="G349" s="84" t="s">
        <v>240</v>
      </c>
      <c r="H349" s="85" t="s">
        <v>272</v>
      </c>
      <c r="I349" s="85" t="s">
        <v>232</v>
      </c>
      <c r="J349" s="69"/>
      <c r="K349" s="86" t="s">
        <v>959</v>
      </c>
    </row>
    <row r="350" spans="1:11">
      <c r="A350" s="72" t="s">
        <v>1004</v>
      </c>
      <c r="B350" s="73" t="str">
        <f t="shared" si="12"/>
        <v>R</v>
      </c>
      <c r="C350" s="74" t="b">
        <f t="shared" si="13"/>
        <v>0</v>
      </c>
      <c r="D350" s="84">
        <v>1</v>
      </c>
      <c r="E350" s="84" t="s">
        <v>306</v>
      </c>
      <c r="F350" s="85" t="s">
        <v>902</v>
      </c>
      <c r="G350" s="84" t="s">
        <v>240</v>
      </c>
      <c r="H350" s="85" t="s">
        <v>903</v>
      </c>
      <c r="I350" s="85" t="s">
        <v>232</v>
      </c>
      <c r="J350" s="69"/>
      <c r="K350" s="86" t="s">
        <v>959</v>
      </c>
    </row>
    <row r="351" spans="1:11">
      <c r="A351" s="72" t="s">
        <v>1005</v>
      </c>
      <c r="B351" s="73" t="str">
        <f t="shared" si="12"/>
        <v>R</v>
      </c>
      <c r="C351" s="74" t="b">
        <f t="shared" si="13"/>
        <v>1</v>
      </c>
      <c r="D351" s="84">
        <v>1</v>
      </c>
      <c r="E351" s="84" t="s">
        <v>335</v>
      </c>
      <c r="F351" s="85" t="s">
        <v>329</v>
      </c>
      <c r="G351" s="84" t="s">
        <v>240</v>
      </c>
      <c r="H351" s="85" t="s">
        <v>904</v>
      </c>
      <c r="I351" s="85" t="s">
        <v>232</v>
      </c>
      <c r="J351" s="69"/>
      <c r="K351" s="86" t="s">
        <v>959</v>
      </c>
    </row>
    <row r="352" spans="1:11">
      <c r="A352" s="72" t="s">
        <v>1006</v>
      </c>
      <c r="B352" s="73" t="str">
        <f t="shared" si="12"/>
        <v>R</v>
      </c>
      <c r="C352" s="74" t="b">
        <f t="shared" si="13"/>
        <v>0</v>
      </c>
      <c r="D352" s="84">
        <v>1</v>
      </c>
      <c r="E352" s="84" t="s">
        <v>342</v>
      </c>
      <c r="F352" s="85" t="s">
        <v>1097</v>
      </c>
      <c r="G352" s="84" t="s">
        <v>240</v>
      </c>
      <c r="H352" s="85" t="s">
        <v>262</v>
      </c>
      <c r="I352" s="85" t="s">
        <v>232</v>
      </c>
      <c r="J352" s="69"/>
      <c r="K352" s="86" t="s">
        <v>959</v>
      </c>
    </row>
    <row r="353" spans="1:11">
      <c r="A353" s="72" t="s">
        <v>1007</v>
      </c>
      <c r="B353" s="73" t="str">
        <f t="shared" si="12"/>
        <v>R</v>
      </c>
      <c r="C353" s="74" t="b">
        <f t="shared" si="13"/>
        <v>1</v>
      </c>
      <c r="D353" s="84">
        <v>4</v>
      </c>
      <c r="E353" s="84" t="s">
        <v>338</v>
      </c>
      <c r="F353" s="85" t="s">
        <v>681</v>
      </c>
      <c r="G353" s="84" t="s">
        <v>237</v>
      </c>
      <c r="H353" s="85" t="s">
        <v>682</v>
      </c>
      <c r="I353" s="85" t="s">
        <v>232</v>
      </c>
      <c r="J353" s="69"/>
      <c r="K353" s="86" t="s">
        <v>959</v>
      </c>
    </row>
    <row r="354" spans="1:11">
      <c r="A354" s="72" t="s">
        <v>1008</v>
      </c>
      <c r="B354" s="73" t="str">
        <f t="shared" si="12"/>
        <v>R</v>
      </c>
      <c r="C354" s="74" t="b">
        <f t="shared" si="13"/>
        <v>1</v>
      </c>
      <c r="D354" s="84"/>
      <c r="E354" s="84" t="s">
        <v>258</v>
      </c>
      <c r="F354" s="85" t="s">
        <v>681</v>
      </c>
      <c r="G354" s="84" t="s">
        <v>237</v>
      </c>
      <c r="H354" s="85" t="s">
        <v>682</v>
      </c>
      <c r="I354" s="85" t="s">
        <v>232</v>
      </c>
      <c r="J354" s="69"/>
      <c r="K354" s="86" t="s">
        <v>959</v>
      </c>
    </row>
    <row r="355" spans="1:11">
      <c r="A355" s="72" t="s">
        <v>1009</v>
      </c>
      <c r="B355" s="73" t="str">
        <f t="shared" si="12"/>
        <v>R</v>
      </c>
      <c r="C355" s="74" t="b">
        <f t="shared" si="13"/>
        <v>1</v>
      </c>
      <c r="D355" s="84"/>
      <c r="E355" s="84" t="s">
        <v>344</v>
      </c>
      <c r="F355" s="85" t="s">
        <v>681</v>
      </c>
      <c r="G355" s="84" t="s">
        <v>237</v>
      </c>
      <c r="H355" s="85" t="s">
        <v>682</v>
      </c>
      <c r="I355" s="85" t="s">
        <v>232</v>
      </c>
      <c r="J355" s="69"/>
      <c r="K355" s="86" t="s">
        <v>959</v>
      </c>
    </row>
    <row r="356" spans="1:11">
      <c r="A356" s="72" t="s">
        <v>1010</v>
      </c>
      <c r="B356" s="73" t="str">
        <f t="shared" si="12"/>
        <v>R</v>
      </c>
      <c r="C356" s="74" t="b">
        <f t="shared" si="13"/>
        <v>1</v>
      </c>
      <c r="D356" s="84"/>
      <c r="E356" s="84" t="s">
        <v>332</v>
      </c>
      <c r="F356" s="85" t="s">
        <v>681</v>
      </c>
      <c r="G356" s="84" t="s">
        <v>237</v>
      </c>
      <c r="H356" s="85" t="s">
        <v>682</v>
      </c>
      <c r="I356" s="85" t="s">
        <v>232</v>
      </c>
      <c r="J356" s="69"/>
      <c r="K356" s="86" t="s">
        <v>959</v>
      </c>
    </row>
    <row r="357" spans="1:11">
      <c r="A357" s="72" t="s">
        <v>1011</v>
      </c>
      <c r="B357" s="73" t="str">
        <f t="shared" si="12"/>
        <v>R</v>
      </c>
      <c r="C357" s="74" t="b">
        <f t="shared" si="13"/>
        <v>0</v>
      </c>
      <c r="D357" s="84">
        <v>1</v>
      </c>
      <c r="E357" s="84" t="s">
        <v>309</v>
      </c>
      <c r="F357" s="85" t="s">
        <v>905</v>
      </c>
      <c r="G357" s="84" t="s">
        <v>240</v>
      </c>
      <c r="H357" s="85" t="s">
        <v>906</v>
      </c>
      <c r="I357" s="85" t="s">
        <v>232</v>
      </c>
      <c r="J357" s="69"/>
      <c r="K357" s="86" t="s">
        <v>959</v>
      </c>
    </row>
    <row r="358" spans="1:11">
      <c r="A358" s="72" t="s">
        <v>1012</v>
      </c>
      <c r="B358" s="73" t="str">
        <f t="shared" si="12"/>
        <v>R</v>
      </c>
      <c r="C358" s="74" t="b">
        <f t="shared" si="13"/>
        <v>1</v>
      </c>
      <c r="D358" s="84">
        <v>1</v>
      </c>
      <c r="E358" s="84" t="s">
        <v>311</v>
      </c>
      <c r="F358" s="85" t="s">
        <v>894</v>
      </c>
      <c r="G358" s="84" t="s">
        <v>240</v>
      </c>
      <c r="H358" s="85" t="s">
        <v>907</v>
      </c>
      <c r="I358" s="85" t="s">
        <v>232</v>
      </c>
      <c r="J358" s="69"/>
      <c r="K358" s="86" t="s">
        <v>959</v>
      </c>
    </row>
    <row r="359" spans="1:11">
      <c r="A359" s="72" t="s">
        <v>1013</v>
      </c>
      <c r="B359" s="73" t="str">
        <f t="shared" si="12"/>
        <v>R</v>
      </c>
      <c r="C359" s="74" t="b">
        <f t="shared" si="13"/>
        <v>0</v>
      </c>
      <c r="D359" s="84">
        <v>1</v>
      </c>
      <c r="E359" s="84" t="s">
        <v>1098</v>
      </c>
      <c r="F359" s="85" t="s">
        <v>143</v>
      </c>
      <c r="G359" s="84" t="s">
        <v>240</v>
      </c>
      <c r="H359" s="85" t="s">
        <v>286</v>
      </c>
      <c r="I359" s="85" t="s">
        <v>232</v>
      </c>
      <c r="J359" s="69"/>
      <c r="K359" s="86" t="s">
        <v>959</v>
      </c>
    </row>
    <row r="360" spans="1:11">
      <c r="A360" s="72" t="s">
        <v>1014</v>
      </c>
      <c r="B360" s="73" t="str">
        <f t="shared" si="12"/>
        <v>R</v>
      </c>
      <c r="C360" s="74" t="b">
        <f t="shared" si="13"/>
        <v>1</v>
      </c>
      <c r="D360" s="84">
        <v>3</v>
      </c>
      <c r="E360" s="84" t="s">
        <v>699</v>
      </c>
      <c r="F360" s="85" t="s">
        <v>692</v>
      </c>
      <c r="G360" s="84" t="s">
        <v>240</v>
      </c>
      <c r="H360" s="85" t="s">
        <v>693</v>
      </c>
      <c r="I360" s="85" t="s">
        <v>232</v>
      </c>
      <c r="J360" s="69"/>
      <c r="K360" s="86" t="s">
        <v>959</v>
      </c>
    </row>
    <row r="361" spans="1:11">
      <c r="A361" s="72" t="s">
        <v>1015</v>
      </c>
      <c r="B361" s="73" t="str">
        <f t="shared" si="12"/>
        <v>R</v>
      </c>
      <c r="C361" s="74" t="b">
        <f t="shared" si="13"/>
        <v>1</v>
      </c>
      <c r="D361" s="84"/>
      <c r="E361" s="84" t="s">
        <v>908</v>
      </c>
      <c r="F361" s="85" t="s">
        <v>692</v>
      </c>
      <c r="G361" s="84" t="s">
        <v>240</v>
      </c>
      <c r="H361" s="85" t="s">
        <v>693</v>
      </c>
      <c r="I361" s="85" t="s">
        <v>232</v>
      </c>
      <c r="J361" s="69"/>
      <c r="K361" s="86" t="s">
        <v>959</v>
      </c>
    </row>
    <row r="362" spans="1:11">
      <c r="A362" s="72" t="s">
        <v>1016</v>
      </c>
      <c r="B362" s="73" t="str">
        <f t="shared" si="12"/>
        <v>R</v>
      </c>
      <c r="C362" s="74" t="b">
        <f t="shared" si="13"/>
        <v>1</v>
      </c>
      <c r="D362" s="84"/>
      <c r="E362" s="84" t="s">
        <v>909</v>
      </c>
      <c r="F362" s="85" t="s">
        <v>692</v>
      </c>
      <c r="G362" s="84" t="s">
        <v>240</v>
      </c>
      <c r="H362" s="85" t="s">
        <v>693</v>
      </c>
      <c r="I362" s="85" t="s">
        <v>232</v>
      </c>
      <c r="J362" s="69"/>
      <c r="K362" s="86" t="s">
        <v>959</v>
      </c>
    </row>
    <row r="363" spans="1:11">
      <c r="A363" s="72" t="s">
        <v>1017</v>
      </c>
      <c r="B363" s="73" t="str">
        <f t="shared" si="12"/>
        <v>SH</v>
      </c>
      <c r="C363" s="74" t="b">
        <f t="shared" si="13"/>
        <v>0</v>
      </c>
      <c r="D363" s="84">
        <v>27</v>
      </c>
      <c r="E363" s="84" t="s">
        <v>910</v>
      </c>
      <c r="F363" s="85" t="s">
        <v>911</v>
      </c>
      <c r="G363" s="84" t="s">
        <v>912</v>
      </c>
      <c r="H363" s="85" t="s">
        <v>911</v>
      </c>
      <c r="I363" s="85" t="s">
        <v>913</v>
      </c>
      <c r="J363" s="69"/>
      <c r="K363" s="86" t="s">
        <v>913</v>
      </c>
    </row>
    <row r="364" spans="1:11">
      <c r="A364" s="72" t="s">
        <v>1018</v>
      </c>
      <c r="B364" s="73" t="str">
        <f t="shared" si="12"/>
        <v>SH</v>
      </c>
      <c r="C364" s="74" t="b">
        <f t="shared" si="13"/>
        <v>0</v>
      </c>
      <c r="D364" s="84"/>
      <c r="E364" s="84" t="s">
        <v>914</v>
      </c>
      <c r="F364" s="85" t="s">
        <v>911</v>
      </c>
      <c r="G364" s="84" t="s">
        <v>912</v>
      </c>
      <c r="H364" s="85" t="s">
        <v>911</v>
      </c>
      <c r="I364" s="85" t="s">
        <v>913</v>
      </c>
      <c r="J364" s="69"/>
      <c r="K364" s="86" t="s">
        <v>913</v>
      </c>
    </row>
    <row r="365" spans="1:11">
      <c r="A365" s="72" t="s">
        <v>1019</v>
      </c>
      <c r="B365" s="73" t="str">
        <f t="shared" si="12"/>
        <v>SH</v>
      </c>
      <c r="C365" s="74" t="b">
        <f t="shared" si="13"/>
        <v>0</v>
      </c>
      <c r="D365" s="84"/>
      <c r="E365" s="84" t="s">
        <v>915</v>
      </c>
      <c r="F365" s="85" t="s">
        <v>911</v>
      </c>
      <c r="G365" s="84" t="s">
        <v>912</v>
      </c>
      <c r="H365" s="85" t="s">
        <v>911</v>
      </c>
      <c r="I365" s="85" t="s">
        <v>913</v>
      </c>
      <c r="J365" s="69"/>
      <c r="K365" s="86" t="s">
        <v>913</v>
      </c>
    </row>
    <row r="366" spans="1:11">
      <c r="A366" s="72" t="s">
        <v>1020</v>
      </c>
      <c r="B366" s="73" t="str">
        <f t="shared" si="12"/>
        <v>SH</v>
      </c>
      <c r="C366" s="74" t="b">
        <f t="shared" si="13"/>
        <v>0</v>
      </c>
      <c r="D366" s="84"/>
      <c r="E366" s="84" t="s">
        <v>916</v>
      </c>
      <c r="F366" s="85" t="s">
        <v>911</v>
      </c>
      <c r="G366" s="84" t="s">
        <v>912</v>
      </c>
      <c r="H366" s="85" t="s">
        <v>911</v>
      </c>
      <c r="I366" s="85" t="s">
        <v>913</v>
      </c>
      <c r="J366" s="69"/>
      <c r="K366" s="86" t="s">
        <v>913</v>
      </c>
    </row>
    <row r="367" spans="1:11">
      <c r="A367" s="72" t="s">
        <v>1021</v>
      </c>
      <c r="B367" s="73" t="str">
        <f t="shared" si="12"/>
        <v>SH</v>
      </c>
      <c r="C367" s="74" t="b">
        <f t="shared" si="13"/>
        <v>0</v>
      </c>
      <c r="D367" s="84"/>
      <c r="E367" s="84" t="s">
        <v>917</v>
      </c>
      <c r="F367" s="85" t="s">
        <v>911</v>
      </c>
      <c r="G367" s="84" t="s">
        <v>912</v>
      </c>
      <c r="H367" s="85" t="s">
        <v>911</v>
      </c>
      <c r="I367" s="85" t="s">
        <v>913</v>
      </c>
      <c r="J367" s="69"/>
      <c r="K367" s="86" t="s">
        <v>913</v>
      </c>
    </row>
    <row r="368" spans="1:11">
      <c r="A368" s="72" t="s">
        <v>1022</v>
      </c>
      <c r="B368" s="73" t="str">
        <f t="shared" si="12"/>
        <v>SH</v>
      </c>
      <c r="C368" s="74" t="b">
        <f t="shared" si="13"/>
        <v>0</v>
      </c>
      <c r="D368" s="84"/>
      <c r="E368" s="84" t="s">
        <v>918</v>
      </c>
      <c r="F368" s="85" t="s">
        <v>911</v>
      </c>
      <c r="G368" s="84" t="s">
        <v>912</v>
      </c>
      <c r="H368" s="85" t="s">
        <v>911</v>
      </c>
      <c r="I368" s="85" t="s">
        <v>913</v>
      </c>
      <c r="J368" s="69"/>
      <c r="K368" s="86" t="s">
        <v>913</v>
      </c>
    </row>
    <row r="369" spans="1:11">
      <c r="A369" s="72" t="s">
        <v>1023</v>
      </c>
      <c r="B369" s="73" t="str">
        <f t="shared" si="12"/>
        <v>SH</v>
      </c>
      <c r="C369" s="74" t="b">
        <f t="shared" si="13"/>
        <v>0</v>
      </c>
      <c r="D369" s="84"/>
      <c r="E369" s="84" t="s">
        <v>919</v>
      </c>
      <c r="F369" s="85" t="s">
        <v>911</v>
      </c>
      <c r="G369" s="84" t="s">
        <v>912</v>
      </c>
      <c r="H369" s="85" t="s">
        <v>911</v>
      </c>
      <c r="I369" s="85" t="s">
        <v>913</v>
      </c>
      <c r="J369" s="69"/>
      <c r="K369" s="86" t="s">
        <v>913</v>
      </c>
    </row>
    <row r="370" spans="1:11">
      <c r="A370" s="72" t="s">
        <v>1024</v>
      </c>
      <c r="B370" s="73" t="str">
        <f t="shared" si="12"/>
        <v>SH</v>
      </c>
      <c r="C370" s="74" t="b">
        <f t="shared" si="13"/>
        <v>0</v>
      </c>
      <c r="D370" s="84"/>
      <c r="E370" s="84" t="s">
        <v>920</v>
      </c>
      <c r="F370" s="85" t="s">
        <v>911</v>
      </c>
      <c r="G370" s="84" t="s">
        <v>912</v>
      </c>
      <c r="H370" s="85" t="s">
        <v>911</v>
      </c>
      <c r="I370" s="85" t="s">
        <v>913</v>
      </c>
      <c r="J370" s="69"/>
      <c r="K370" s="86" t="s">
        <v>913</v>
      </c>
    </row>
    <row r="371" spans="1:11">
      <c r="A371" s="72" t="s">
        <v>1025</v>
      </c>
      <c r="B371" s="73" t="str">
        <f t="shared" si="12"/>
        <v>SH</v>
      </c>
      <c r="C371" s="74" t="b">
        <f t="shared" si="13"/>
        <v>0</v>
      </c>
      <c r="D371" s="84"/>
      <c r="E371" s="84" t="s">
        <v>921</v>
      </c>
      <c r="F371" s="85" t="s">
        <v>911</v>
      </c>
      <c r="G371" s="84" t="s">
        <v>912</v>
      </c>
      <c r="H371" s="85" t="s">
        <v>911</v>
      </c>
      <c r="I371" s="85" t="s">
        <v>913</v>
      </c>
      <c r="J371" s="69"/>
      <c r="K371" s="86" t="s">
        <v>913</v>
      </c>
    </row>
    <row r="372" spans="1:11">
      <c r="A372" s="72" t="s">
        <v>1026</v>
      </c>
      <c r="B372" s="73" t="str">
        <f t="shared" si="12"/>
        <v>SH</v>
      </c>
      <c r="C372" s="74" t="b">
        <f t="shared" si="13"/>
        <v>0</v>
      </c>
      <c r="D372" s="84"/>
      <c r="E372" s="84" t="s">
        <v>922</v>
      </c>
      <c r="F372" s="85" t="s">
        <v>911</v>
      </c>
      <c r="G372" s="84" t="s">
        <v>912</v>
      </c>
      <c r="H372" s="85" t="s">
        <v>911</v>
      </c>
      <c r="I372" s="85" t="s">
        <v>913</v>
      </c>
      <c r="J372" s="69"/>
      <c r="K372" s="86" t="s">
        <v>913</v>
      </c>
    </row>
    <row r="373" spans="1:11">
      <c r="A373" s="72" t="s">
        <v>1027</v>
      </c>
      <c r="B373" s="73" t="str">
        <f t="shared" si="12"/>
        <v>SH</v>
      </c>
      <c r="C373" s="74" t="b">
        <f t="shared" si="13"/>
        <v>0</v>
      </c>
      <c r="D373" s="84"/>
      <c r="E373" s="84" t="s">
        <v>923</v>
      </c>
      <c r="F373" s="85" t="s">
        <v>911</v>
      </c>
      <c r="G373" s="84" t="s">
        <v>912</v>
      </c>
      <c r="H373" s="85" t="s">
        <v>911</v>
      </c>
      <c r="I373" s="85" t="s">
        <v>913</v>
      </c>
      <c r="J373" s="69"/>
      <c r="K373" s="86" t="s">
        <v>913</v>
      </c>
    </row>
    <row r="374" spans="1:11">
      <c r="A374" s="72" t="s">
        <v>1028</v>
      </c>
      <c r="B374" s="73" t="str">
        <f t="shared" si="12"/>
        <v>SH</v>
      </c>
      <c r="C374" s="74" t="b">
        <f t="shared" si="13"/>
        <v>0</v>
      </c>
      <c r="D374" s="84"/>
      <c r="E374" s="84" t="s">
        <v>924</v>
      </c>
      <c r="F374" s="85" t="s">
        <v>911</v>
      </c>
      <c r="G374" s="84" t="s">
        <v>912</v>
      </c>
      <c r="H374" s="85" t="s">
        <v>911</v>
      </c>
      <c r="I374" s="85" t="s">
        <v>913</v>
      </c>
      <c r="J374" s="69"/>
      <c r="K374" s="86" t="s">
        <v>913</v>
      </c>
    </row>
    <row r="375" spans="1:11">
      <c r="A375" s="72" t="s">
        <v>1029</v>
      </c>
      <c r="B375" s="73" t="str">
        <f t="shared" si="12"/>
        <v>SH</v>
      </c>
      <c r="C375" s="74" t="b">
        <f t="shared" si="13"/>
        <v>0</v>
      </c>
      <c r="D375" s="84"/>
      <c r="E375" s="84" t="s">
        <v>925</v>
      </c>
      <c r="F375" s="85" t="s">
        <v>911</v>
      </c>
      <c r="G375" s="84" t="s">
        <v>912</v>
      </c>
      <c r="H375" s="85" t="s">
        <v>911</v>
      </c>
      <c r="I375" s="85" t="s">
        <v>913</v>
      </c>
      <c r="J375" s="69"/>
      <c r="K375" s="86" t="s">
        <v>913</v>
      </c>
    </row>
    <row r="376" spans="1:11">
      <c r="A376" s="72" t="s">
        <v>1030</v>
      </c>
      <c r="B376" s="73" t="str">
        <f t="shared" si="12"/>
        <v>SH</v>
      </c>
      <c r="C376" s="74" t="b">
        <f t="shared" si="13"/>
        <v>0</v>
      </c>
      <c r="D376" s="84"/>
      <c r="E376" s="84" t="s">
        <v>926</v>
      </c>
      <c r="F376" s="85" t="s">
        <v>911</v>
      </c>
      <c r="G376" s="84" t="s">
        <v>912</v>
      </c>
      <c r="H376" s="85" t="s">
        <v>911</v>
      </c>
      <c r="I376" s="85" t="s">
        <v>913</v>
      </c>
      <c r="J376" s="69"/>
      <c r="K376" s="86" t="s">
        <v>913</v>
      </c>
    </row>
    <row r="377" spans="1:11">
      <c r="A377" s="72" t="s">
        <v>1031</v>
      </c>
      <c r="B377" s="73" t="str">
        <f t="shared" si="12"/>
        <v>SH</v>
      </c>
      <c r="C377" s="74" t="b">
        <f t="shared" si="13"/>
        <v>0</v>
      </c>
      <c r="D377" s="84"/>
      <c r="E377" s="84" t="s">
        <v>927</v>
      </c>
      <c r="F377" s="85" t="s">
        <v>911</v>
      </c>
      <c r="G377" s="84" t="s">
        <v>912</v>
      </c>
      <c r="H377" s="85" t="s">
        <v>911</v>
      </c>
      <c r="I377" s="85" t="s">
        <v>913</v>
      </c>
      <c r="J377" s="69"/>
      <c r="K377" s="86" t="s">
        <v>913</v>
      </c>
    </row>
    <row r="378" spans="1:11">
      <c r="A378" s="72" t="s">
        <v>1032</v>
      </c>
      <c r="B378" s="73" t="str">
        <f t="shared" si="12"/>
        <v>SH</v>
      </c>
      <c r="C378" s="74" t="b">
        <f t="shared" si="13"/>
        <v>0</v>
      </c>
      <c r="D378" s="84"/>
      <c r="E378" s="84" t="s">
        <v>928</v>
      </c>
      <c r="F378" s="85" t="s">
        <v>911</v>
      </c>
      <c r="G378" s="84" t="s">
        <v>912</v>
      </c>
      <c r="H378" s="85" t="s">
        <v>911</v>
      </c>
      <c r="I378" s="85" t="s">
        <v>913</v>
      </c>
      <c r="J378" s="69"/>
      <c r="K378" s="86" t="s">
        <v>913</v>
      </c>
    </row>
    <row r="379" spans="1:11">
      <c r="A379" s="72" t="s">
        <v>1033</v>
      </c>
      <c r="B379" s="73" t="str">
        <f t="shared" si="12"/>
        <v>SH</v>
      </c>
      <c r="C379" s="74" t="b">
        <f t="shared" si="13"/>
        <v>0</v>
      </c>
      <c r="D379" s="84"/>
      <c r="E379" s="84" t="s">
        <v>929</v>
      </c>
      <c r="F379" s="85" t="s">
        <v>911</v>
      </c>
      <c r="G379" s="84" t="s">
        <v>912</v>
      </c>
      <c r="H379" s="85" t="s">
        <v>911</v>
      </c>
      <c r="I379" s="85" t="s">
        <v>913</v>
      </c>
      <c r="J379" s="69"/>
      <c r="K379" s="86" t="s">
        <v>913</v>
      </c>
    </row>
    <row r="380" spans="1:11">
      <c r="A380" s="72" t="s">
        <v>1034</v>
      </c>
      <c r="B380" s="73" t="str">
        <f t="shared" si="12"/>
        <v>SH</v>
      </c>
      <c r="C380" s="74" t="b">
        <f t="shared" si="13"/>
        <v>0</v>
      </c>
      <c r="D380" s="84"/>
      <c r="E380" s="84" t="s">
        <v>930</v>
      </c>
      <c r="F380" s="85" t="s">
        <v>911</v>
      </c>
      <c r="G380" s="84" t="s">
        <v>912</v>
      </c>
      <c r="H380" s="85" t="s">
        <v>911</v>
      </c>
      <c r="I380" s="85" t="s">
        <v>913</v>
      </c>
      <c r="J380" s="69"/>
      <c r="K380" s="86" t="s">
        <v>913</v>
      </c>
    </row>
    <row r="381" spans="1:11">
      <c r="A381" s="72" t="s">
        <v>1035</v>
      </c>
      <c r="B381" s="73" t="str">
        <f t="shared" si="12"/>
        <v>SH</v>
      </c>
      <c r="C381" s="74" t="b">
        <f t="shared" si="13"/>
        <v>0</v>
      </c>
      <c r="D381" s="84"/>
      <c r="E381" s="84" t="s">
        <v>931</v>
      </c>
      <c r="F381" s="85" t="s">
        <v>911</v>
      </c>
      <c r="G381" s="84" t="s">
        <v>912</v>
      </c>
      <c r="H381" s="85" t="s">
        <v>911</v>
      </c>
      <c r="I381" s="85" t="s">
        <v>913</v>
      </c>
      <c r="J381" s="69"/>
      <c r="K381" s="86" t="s">
        <v>913</v>
      </c>
    </row>
    <row r="382" spans="1:11">
      <c r="A382" s="72" t="s">
        <v>1036</v>
      </c>
      <c r="B382" s="73" t="str">
        <f t="shared" si="12"/>
        <v>SH</v>
      </c>
      <c r="C382" s="74" t="b">
        <f t="shared" si="13"/>
        <v>0</v>
      </c>
      <c r="D382" s="84"/>
      <c r="E382" s="84" t="s">
        <v>932</v>
      </c>
      <c r="F382" s="85" t="s">
        <v>911</v>
      </c>
      <c r="G382" s="84" t="s">
        <v>912</v>
      </c>
      <c r="H382" s="85" t="s">
        <v>911</v>
      </c>
      <c r="I382" s="85" t="s">
        <v>913</v>
      </c>
      <c r="J382" s="69"/>
      <c r="K382" s="86" t="s">
        <v>913</v>
      </c>
    </row>
    <row r="383" spans="1:11">
      <c r="A383" s="72" t="s">
        <v>1037</v>
      </c>
      <c r="B383" s="73" t="str">
        <f t="shared" si="12"/>
        <v>SH</v>
      </c>
      <c r="C383" s="74" t="b">
        <f t="shared" si="13"/>
        <v>0</v>
      </c>
      <c r="D383" s="84"/>
      <c r="E383" s="84" t="s">
        <v>933</v>
      </c>
      <c r="F383" s="85" t="s">
        <v>911</v>
      </c>
      <c r="G383" s="84" t="s">
        <v>912</v>
      </c>
      <c r="H383" s="85" t="s">
        <v>911</v>
      </c>
      <c r="I383" s="85" t="s">
        <v>913</v>
      </c>
      <c r="J383" s="69"/>
      <c r="K383" s="86" t="s">
        <v>913</v>
      </c>
    </row>
    <row r="384" spans="1:11">
      <c r="A384" s="72" t="s">
        <v>1038</v>
      </c>
      <c r="B384" s="73" t="str">
        <f t="shared" si="12"/>
        <v>SH</v>
      </c>
      <c r="C384" s="74" t="b">
        <f t="shared" si="13"/>
        <v>0</v>
      </c>
      <c r="D384" s="84"/>
      <c r="E384" s="84" t="s">
        <v>934</v>
      </c>
      <c r="F384" s="85" t="s">
        <v>911</v>
      </c>
      <c r="G384" s="84" t="s">
        <v>912</v>
      </c>
      <c r="H384" s="85" t="s">
        <v>911</v>
      </c>
      <c r="I384" s="85" t="s">
        <v>913</v>
      </c>
      <c r="J384" s="69"/>
      <c r="K384" s="86" t="s">
        <v>913</v>
      </c>
    </row>
    <row r="385" spans="1:11">
      <c r="A385" s="72" t="s">
        <v>1039</v>
      </c>
      <c r="B385" s="73" t="str">
        <f t="shared" si="12"/>
        <v>SH</v>
      </c>
      <c r="C385" s="74" t="b">
        <f t="shared" si="13"/>
        <v>0</v>
      </c>
      <c r="D385" s="84"/>
      <c r="E385" s="84" t="s">
        <v>935</v>
      </c>
      <c r="F385" s="85" t="s">
        <v>911</v>
      </c>
      <c r="G385" s="84" t="s">
        <v>912</v>
      </c>
      <c r="H385" s="85" t="s">
        <v>911</v>
      </c>
      <c r="I385" s="85" t="s">
        <v>913</v>
      </c>
      <c r="J385" s="69"/>
      <c r="K385" s="86" t="s">
        <v>913</v>
      </c>
    </row>
    <row r="386" spans="1:11">
      <c r="A386" s="72" t="s">
        <v>1040</v>
      </c>
      <c r="B386" s="73" t="str">
        <f t="shared" si="12"/>
        <v>SH</v>
      </c>
      <c r="C386" s="74" t="b">
        <f t="shared" si="13"/>
        <v>0</v>
      </c>
      <c r="D386" s="84"/>
      <c r="E386" s="84" t="s">
        <v>936</v>
      </c>
      <c r="F386" s="85" t="s">
        <v>911</v>
      </c>
      <c r="G386" s="84" t="s">
        <v>912</v>
      </c>
      <c r="H386" s="85" t="s">
        <v>911</v>
      </c>
      <c r="I386" s="85" t="s">
        <v>913</v>
      </c>
      <c r="J386" s="69"/>
      <c r="K386" s="86" t="s">
        <v>913</v>
      </c>
    </row>
    <row r="387" spans="1:11">
      <c r="A387" s="72" t="s">
        <v>1041</v>
      </c>
      <c r="B387" s="73" t="str">
        <f t="shared" si="12"/>
        <v>SH</v>
      </c>
      <c r="C387" s="74" t="b">
        <f t="shared" si="13"/>
        <v>0</v>
      </c>
      <c r="D387" s="84"/>
      <c r="E387" s="84" t="s">
        <v>937</v>
      </c>
      <c r="F387" s="85" t="s">
        <v>911</v>
      </c>
      <c r="G387" s="84" t="s">
        <v>912</v>
      </c>
      <c r="H387" s="85" t="s">
        <v>911</v>
      </c>
      <c r="I387" s="85" t="s">
        <v>913</v>
      </c>
      <c r="J387" s="69"/>
      <c r="K387" s="86" t="s">
        <v>913</v>
      </c>
    </row>
    <row r="388" spans="1:11">
      <c r="A388" s="72" t="s">
        <v>1042</v>
      </c>
      <c r="B388" s="73" t="str">
        <f t="shared" si="12"/>
        <v>SH</v>
      </c>
      <c r="C388" s="74" t="b">
        <f t="shared" si="13"/>
        <v>0</v>
      </c>
      <c r="D388" s="84"/>
      <c r="E388" s="84" t="s">
        <v>938</v>
      </c>
      <c r="F388" s="85" t="s">
        <v>911</v>
      </c>
      <c r="G388" s="84" t="s">
        <v>912</v>
      </c>
      <c r="H388" s="85" t="s">
        <v>911</v>
      </c>
      <c r="I388" s="85" t="s">
        <v>913</v>
      </c>
      <c r="J388" s="69"/>
      <c r="K388" s="86" t="s">
        <v>913</v>
      </c>
    </row>
    <row r="389" spans="1:11">
      <c r="A389" s="72" t="s">
        <v>1043</v>
      </c>
      <c r="B389" s="73" t="str">
        <f t="shared" si="12"/>
        <v>SH</v>
      </c>
      <c r="C389" s="74" t="b">
        <f t="shared" si="13"/>
        <v>0</v>
      </c>
      <c r="D389" s="84"/>
      <c r="E389" s="84" t="s">
        <v>939</v>
      </c>
      <c r="F389" s="85" t="s">
        <v>911</v>
      </c>
      <c r="G389" s="84" t="s">
        <v>912</v>
      </c>
      <c r="H389" s="85" t="s">
        <v>911</v>
      </c>
      <c r="I389" s="85" t="s">
        <v>913</v>
      </c>
      <c r="J389" s="69"/>
      <c r="K389" s="86" t="s">
        <v>913</v>
      </c>
    </row>
    <row r="390" spans="1:11">
      <c r="A390" s="72" t="s">
        <v>1044</v>
      </c>
      <c r="B390" s="73" t="str">
        <f t="shared" si="12"/>
        <v>SU</v>
      </c>
      <c r="C390" s="74" t="b">
        <f t="shared" si="13"/>
        <v>1</v>
      </c>
      <c r="D390" s="84">
        <v>1</v>
      </c>
      <c r="E390" s="84" t="s">
        <v>940</v>
      </c>
      <c r="F390" s="85" t="s">
        <v>143</v>
      </c>
      <c r="G390" s="84" t="s">
        <v>1099</v>
      </c>
      <c r="H390" s="85" t="s">
        <v>941</v>
      </c>
      <c r="I390" s="85" t="s">
        <v>1100</v>
      </c>
      <c r="J390" s="69"/>
      <c r="K390" s="86"/>
    </row>
    <row r="391" spans="1:11">
      <c r="A391" s="72" t="s">
        <v>1045</v>
      </c>
      <c r="B391" s="73" t="str">
        <f t="shared" si="12"/>
        <v>TP</v>
      </c>
      <c r="C391" s="74" t="b">
        <f t="shared" si="13"/>
        <v>0</v>
      </c>
      <c r="D391" s="84">
        <v>4</v>
      </c>
      <c r="E391" s="84" t="s">
        <v>702</v>
      </c>
      <c r="F391" s="85">
        <v>5012</v>
      </c>
      <c r="G391" s="84" t="s">
        <v>703</v>
      </c>
      <c r="H391" s="85">
        <v>5012</v>
      </c>
      <c r="I391" s="85" t="s">
        <v>942</v>
      </c>
      <c r="J391" s="69"/>
      <c r="K391" s="86"/>
    </row>
    <row r="392" spans="1:11">
      <c r="A392" s="72" t="s">
        <v>1046</v>
      </c>
      <c r="B392" s="73" t="str">
        <f t="shared" si="12"/>
        <v>TP</v>
      </c>
      <c r="C392" s="74" t="b">
        <f t="shared" si="13"/>
        <v>0</v>
      </c>
      <c r="D392" s="84"/>
      <c r="E392" s="84" t="s">
        <v>705</v>
      </c>
      <c r="F392" s="85">
        <v>5012</v>
      </c>
      <c r="G392" s="84" t="s">
        <v>703</v>
      </c>
      <c r="H392" s="85">
        <v>5012</v>
      </c>
      <c r="I392" s="85" t="s">
        <v>942</v>
      </c>
      <c r="J392" s="69"/>
      <c r="K392" s="86"/>
    </row>
    <row r="393" spans="1:11">
      <c r="A393" s="72" t="s">
        <v>1047</v>
      </c>
      <c r="B393" s="73" t="str">
        <f t="shared" si="12"/>
        <v>TP</v>
      </c>
      <c r="C393" s="74" t="b">
        <f t="shared" si="13"/>
        <v>0</v>
      </c>
      <c r="D393" s="84"/>
      <c r="E393" s="84" t="s">
        <v>706</v>
      </c>
      <c r="F393" s="85">
        <v>5012</v>
      </c>
      <c r="G393" s="84" t="s">
        <v>703</v>
      </c>
      <c r="H393" s="85">
        <v>5012</v>
      </c>
      <c r="I393" s="85" t="s">
        <v>942</v>
      </c>
      <c r="J393" s="69"/>
      <c r="K393" s="86"/>
    </row>
    <row r="394" spans="1:11">
      <c r="A394" s="72" t="s">
        <v>1048</v>
      </c>
      <c r="B394" s="73" t="str">
        <f t="shared" si="12"/>
        <v>TP</v>
      </c>
      <c r="C394" s="74" t="b">
        <f t="shared" si="13"/>
        <v>0</v>
      </c>
      <c r="D394" s="84"/>
      <c r="E394" s="84" t="s">
        <v>707</v>
      </c>
      <c r="F394" s="85">
        <v>5012</v>
      </c>
      <c r="G394" s="84" t="s">
        <v>703</v>
      </c>
      <c r="H394" s="85">
        <v>5012</v>
      </c>
      <c r="I394" s="85" t="s">
        <v>942</v>
      </c>
      <c r="J394" s="69"/>
      <c r="K394" s="86"/>
    </row>
    <row r="395" spans="1:11">
      <c r="A395" s="72" t="s">
        <v>1049</v>
      </c>
      <c r="B395" s="73" t="str">
        <f t="shared" si="12"/>
        <v>VR</v>
      </c>
      <c r="C395" s="74" t="b">
        <f t="shared" si="13"/>
        <v>1</v>
      </c>
      <c r="D395" s="84">
        <v>1</v>
      </c>
      <c r="E395" s="84" t="s">
        <v>945</v>
      </c>
      <c r="F395" s="85" t="s">
        <v>261</v>
      </c>
      <c r="G395" s="84" t="s">
        <v>946</v>
      </c>
      <c r="H395" s="85" t="s">
        <v>947</v>
      </c>
      <c r="I395" s="85" t="s">
        <v>948</v>
      </c>
      <c r="J395" s="69"/>
      <c r="K395" s="86"/>
    </row>
    <row r="396" spans="1:11">
      <c r="A396" s="72" t="s">
        <v>1050</v>
      </c>
      <c r="B396" s="73" t="str">
        <f t="shared" si="12"/>
        <v>Y</v>
      </c>
      <c r="C396" s="74" t="b">
        <f t="shared" si="13"/>
        <v>0</v>
      </c>
      <c r="D396" s="84">
        <v>1</v>
      </c>
      <c r="E396" s="84" t="s">
        <v>354</v>
      </c>
      <c r="F396" s="85" t="s">
        <v>1101</v>
      </c>
      <c r="G396" s="84" t="s">
        <v>949</v>
      </c>
      <c r="H396" s="85" t="s">
        <v>950</v>
      </c>
      <c r="I396" s="85" t="s">
        <v>951</v>
      </c>
      <c r="J396" s="69"/>
      <c r="K396" s="87" t="s">
        <v>981</v>
      </c>
    </row>
    <row r="397" spans="1:11">
      <c r="A397" s="72" t="s">
        <v>1051</v>
      </c>
      <c r="B397" s="73" t="str">
        <f t="shared" si="12"/>
        <v>Y</v>
      </c>
      <c r="C397" s="74" t="b">
        <f t="shared" si="13"/>
        <v>1</v>
      </c>
      <c r="D397" s="84">
        <v>1</v>
      </c>
      <c r="E397" s="84" t="s">
        <v>355</v>
      </c>
      <c r="F397" s="85" t="s">
        <v>710</v>
      </c>
      <c r="G397" s="84" t="s">
        <v>356</v>
      </c>
      <c r="H397" s="85">
        <v>13000057</v>
      </c>
      <c r="I397" s="85" t="s">
        <v>952</v>
      </c>
      <c r="J397" s="69"/>
      <c r="K397" s="87" t="s">
        <v>982</v>
      </c>
    </row>
    <row r="398" spans="1:11">
      <c r="A398" s="72" t="s">
        <v>1052</v>
      </c>
      <c r="B398" s="73" t="str">
        <f t="shared" si="12"/>
        <v>Y</v>
      </c>
      <c r="C398" s="74" t="b">
        <f t="shared" si="13"/>
        <v>0</v>
      </c>
      <c r="D398" s="84">
        <v>1</v>
      </c>
      <c r="E398" s="84" t="s">
        <v>709</v>
      </c>
      <c r="F398" s="85" t="s">
        <v>953</v>
      </c>
      <c r="G398" s="84" t="s">
        <v>954</v>
      </c>
      <c r="H398" s="85">
        <v>13000059</v>
      </c>
      <c r="I398" s="85" t="s">
        <v>951</v>
      </c>
      <c r="J398" s="69"/>
      <c r="K398" s="87" t="s">
        <v>981</v>
      </c>
    </row>
    <row r="399" spans="1:11">
      <c r="A399" s="72" t="s">
        <v>1053</v>
      </c>
      <c r="B399" s="73" t="str">
        <f t="shared" si="12"/>
        <v>Z</v>
      </c>
      <c r="C399" s="74" t="b">
        <f t="shared" si="13"/>
        <v>1</v>
      </c>
      <c r="D399" s="84">
        <v>1</v>
      </c>
      <c r="E399" s="84" t="s">
        <v>741</v>
      </c>
      <c r="F399" s="85" t="s">
        <v>955</v>
      </c>
      <c r="G399" s="84" t="s">
        <v>1102</v>
      </c>
      <c r="H399" s="85" t="s">
        <v>955</v>
      </c>
      <c r="I399" s="85" t="s">
        <v>957</v>
      </c>
      <c r="J399" s="69"/>
      <c r="K399" s="86"/>
    </row>
    <row r="400" spans="1:11">
      <c r="A400" s="72" t="s">
        <v>1054</v>
      </c>
      <c r="B400" s="73" t="str">
        <f t="shared" si="12"/>
        <v>TP</v>
      </c>
      <c r="C400" s="74" t="b">
        <f t="shared" si="13"/>
        <v>1</v>
      </c>
      <c r="D400" s="75"/>
      <c r="E400" s="75" t="s">
        <v>944</v>
      </c>
      <c r="F400" s="76" t="s">
        <v>143</v>
      </c>
      <c r="G400" s="75" t="s">
        <v>943</v>
      </c>
      <c r="H400" s="76" t="s">
        <v>913</v>
      </c>
      <c r="I400" s="75" t="s">
        <v>913</v>
      </c>
      <c r="J400" s="69"/>
      <c r="K400" s="76"/>
    </row>
    <row r="401" spans="1:11">
      <c r="A401" s="72" t="s">
        <v>1055</v>
      </c>
      <c r="B401" s="73" t="str">
        <f t="shared" si="12"/>
        <v>VR</v>
      </c>
      <c r="C401" s="74" t="b">
        <f t="shared" si="13"/>
        <v>0</v>
      </c>
      <c r="D401" s="75">
        <v>1</v>
      </c>
      <c r="E401" s="75" t="s">
        <v>945</v>
      </c>
      <c r="F401" s="76" t="s">
        <v>261</v>
      </c>
      <c r="G401" s="75" t="s">
        <v>946</v>
      </c>
      <c r="H401" s="76" t="s">
        <v>947</v>
      </c>
      <c r="I401" s="75" t="s">
        <v>948</v>
      </c>
      <c r="J401" s="69"/>
      <c r="K401" s="76"/>
    </row>
    <row r="402" spans="1:11">
      <c r="A402" s="72" t="s">
        <v>1056</v>
      </c>
      <c r="B402" s="73" t="str">
        <f t="shared" si="12"/>
        <v>Y</v>
      </c>
      <c r="C402" s="74" t="b">
        <f t="shared" si="13"/>
        <v>1</v>
      </c>
      <c r="D402" s="75">
        <v>1</v>
      </c>
      <c r="E402" s="75" t="s">
        <v>354</v>
      </c>
      <c r="F402" s="76" t="s">
        <v>708</v>
      </c>
      <c r="G402" s="75" t="s">
        <v>949</v>
      </c>
      <c r="H402" s="76" t="s">
        <v>950</v>
      </c>
      <c r="I402" s="75" t="s">
        <v>951</v>
      </c>
      <c r="J402" s="69"/>
      <c r="K402" s="76" t="s">
        <v>981</v>
      </c>
    </row>
    <row r="403" spans="1:11">
      <c r="A403" s="72" t="s">
        <v>1057</v>
      </c>
      <c r="B403" s="73" t="str">
        <f t="shared" si="12"/>
        <v>Y</v>
      </c>
      <c r="C403" s="74" t="b">
        <f t="shared" si="13"/>
        <v>0</v>
      </c>
      <c r="D403" s="75">
        <v>1</v>
      </c>
      <c r="E403" s="75" t="s">
        <v>355</v>
      </c>
      <c r="F403" s="76" t="s">
        <v>710</v>
      </c>
      <c r="G403" s="75" t="s">
        <v>356</v>
      </c>
      <c r="H403" s="76">
        <v>13000057</v>
      </c>
      <c r="I403" s="75" t="s">
        <v>952</v>
      </c>
      <c r="J403" s="69" t="s">
        <v>1060</v>
      </c>
      <c r="K403" s="76" t="s">
        <v>982</v>
      </c>
    </row>
    <row r="404" spans="1:11">
      <c r="A404" s="72" t="s">
        <v>1058</v>
      </c>
      <c r="B404" s="73" t="str">
        <f t="shared" si="12"/>
        <v>Y</v>
      </c>
      <c r="C404" s="74" t="b">
        <f t="shared" si="13"/>
        <v>1</v>
      </c>
      <c r="D404" s="75">
        <v>1</v>
      </c>
      <c r="E404" s="75" t="s">
        <v>709</v>
      </c>
      <c r="F404" s="76" t="s">
        <v>953</v>
      </c>
      <c r="G404" s="75" t="s">
        <v>954</v>
      </c>
      <c r="H404" s="76">
        <v>13000059</v>
      </c>
      <c r="I404" s="75" t="s">
        <v>951</v>
      </c>
      <c r="J404" s="69"/>
      <c r="K404" s="76" t="s">
        <v>981</v>
      </c>
    </row>
    <row r="405" spans="1:11">
      <c r="A405" s="72" t="s">
        <v>1059</v>
      </c>
      <c r="B405" s="73" t="str">
        <f>IF(AND(MID(E405,2,1)&gt;="A",MID(E405,2,1)&lt;="Z"),LEFT(E405,2),LEFT(E405,1))</f>
        <v>Z</v>
      </c>
      <c r="C405" s="74" t="b">
        <f>IF(D405&lt;&gt;"",NOT(C404),C404)</f>
        <v>0</v>
      </c>
      <c r="D405" s="75">
        <v>1</v>
      </c>
      <c r="E405" s="75" t="s">
        <v>741</v>
      </c>
      <c r="F405" s="76" t="s">
        <v>955</v>
      </c>
      <c r="G405" s="75" t="s">
        <v>956</v>
      </c>
      <c r="H405" s="76" t="s">
        <v>955</v>
      </c>
      <c r="I405" s="75" t="s">
        <v>957</v>
      </c>
      <c r="J405" s="69" t="s">
        <v>1060</v>
      </c>
      <c r="K405" s="76"/>
    </row>
  </sheetData>
  <phoneticPr fontId="0" type="noConversion"/>
  <conditionalFormatting sqref="A1:K1048576">
    <cfRule type="expression" dxfId="2" priority="1" stopIfTrue="1">
      <formula>$F1="NOT POPULATED"</formula>
    </cfRule>
    <cfRule type="expression" dxfId="1" priority="2" stopIfTrue="1">
      <formula>$F1="n.a."</formula>
    </cfRule>
    <cfRule type="expression" dxfId="0" priority="3" stopIfTrue="1">
      <formula>$C1=TRUE</formula>
    </cfRule>
  </conditionalFormatting>
  <pageMargins left="0.75" right="0.75" top="1.5" bottom="1" header="0.5" footer="0.5"/>
  <pageSetup paperSize="9" scale="72" fitToHeight="0" orientation="portrait" r:id="rId1"/>
  <headerFooter alignWithMargins="0">
    <oddHeader>&amp;LProduct:&amp;B AT91SAM7L-STK&amp;B
BOM type:&amp;B BOARD&amp;B
BOM revision:&amp;B 001&amp;B
BOM release date:&amp;B 19-mars-2008&amp;B
-----------------------------------------</oddHeader>
    <oddFooter>&amp;LAT91SAM7L-STK_BOARDBOM_001.xls / &amp;B&amp;A&amp;B / &amp;D - &amp;T &amp;RPage 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E15"/>
  <sheetViews>
    <sheetView zoomScale="85" zoomScaleNormal="100" workbookViewId="0">
      <pane ySplit="1" topLeftCell="A2" activePane="bottomLeft" state="frozen"/>
      <selection activeCell="B9" sqref="B9"/>
      <selection pane="bottomLeft" activeCell="C18" sqref="C18"/>
    </sheetView>
  </sheetViews>
  <sheetFormatPr defaultRowHeight="12.75"/>
  <cols>
    <col min="1" max="1" width="4" style="10" bestFit="1" customWidth="1"/>
    <col min="2" max="2" width="48.7109375" style="3" customWidth="1"/>
    <col min="3" max="3" width="46.85546875" style="3" customWidth="1"/>
    <col min="4" max="4" width="17.5703125" style="3" customWidth="1"/>
    <col min="5" max="16384" width="9.140625" style="3"/>
  </cols>
  <sheetData>
    <row r="1" spans="1:5" s="6" customFormat="1" ht="13.5" thickBot="1">
      <c r="A1" s="8" t="s">
        <v>4</v>
      </c>
      <c r="B1" s="59" t="s">
        <v>5</v>
      </c>
      <c r="C1" s="60" t="s">
        <v>6</v>
      </c>
      <c r="D1" s="7" t="s">
        <v>8</v>
      </c>
    </row>
    <row r="2" spans="1:5">
      <c r="A2" s="57">
        <v>1</v>
      </c>
      <c r="B2" s="62" t="s">
        <v>643</v>
      </c>
      <c r="C2" s="28" t="s">
        <v>1061</v>
      </c>
      <c r="D2" s="29"/>
      <c r="E2" s="4"/>
    </row>
    <row r="3" spans="1:5">
      <c r="A3" s="47">
        <v>1</v>
      </c>
      <c r="B3" s="48" t="s">
        <v>17</v>
      </c>
      <c r="C3" s="33" t="s">
        <v>1107</v>
      </c>
      <c r="D3" s="34"/>
      <c r="E3" s="4"/>
    </row>
    <row r="4" spans="1:5">
      <c r="A4" s="58">
        <v>1</v>
      </c>
      <c r="B4" s="63" t="s">
        <v>1063</v>
      </c>
      <c r="C4" s="22" t="s">
        <v>1062</v>
      </c>
      <c r="D4" s="21"/>
      <c r="E4" s="4"/>
    </row>
    <row r="5" spans="1:5">
      <c r="A5" s="47">
        <v>1</v>
      </c>
      <c r="B5" s="48" t="s">
        <v>18</v>
      </c>
      <c r="C5" s="33" t="s">
        <v>1108</v>
      </c>
      <c r="D5" s="34" t="s">
        <v>19</v>
      </c>
      <c r="E5" s="4"/>
    </row>
    <row r="6" spans="1:5" s="5" customFormat="1">
      <c r="A6" s="58">
        <v>1</v>
      </c>
      <c r="B6" s="63" t="s">
        <v>1109</v>
      </c>
      <c r="C6" s="77" t="s">
        <v>1064</v>
      </c>
      <c r="D6" s="78" t="s">
        <v>19</v>
      </c>
      <c r="E6" s="61"/>
    </row>
    <row r="7" spans="1:5" ht="13.5" thickBot="1">
      <c r="A7" s="79"/>
      <c r="B7" s="80"/>
      <c r="C7" s="81"/>
      <c r="D7" s="82"/>
    </row>
    <row r="11" spans="1:5">
      <c r="A11" s="9"/>
      <c r="B11" s="5"/>
      <c r="C11" s="5"/>
    </row>
    <row r="12" spans="1:5">
      <c r="A12" s="9"/>
      <c r="B12" s="5"/>
      <c r="C12" s="5"/>
    </row>
    <row r="13" spans="1:5">
      <c r="A13" s="9"/>
      <c r="B13" s="5"/>
      <c r="C13" s="5"/>
    </row>
    <row r="14" spans="1:5">
      <c r="A14" s="9"/>
      <c r="B14" s="5"/>
      <c r="C14" s="5"/>
    </row>
    <row r="15" spans="1:5">
      <c r="A15" s="9"/>
      <c r="B15" s="5"/>
      <c r="C15" s="5"/>
    </row>
  </sheetData>
  <phoneticPr fontId="0" type="noConversion"/>
  <pageMargins left="0.75" right="0.75" top="1.5" bottom="1" header="0.5" footer="0.5"/>
  <pageSetup paperSize="9" scale="80" fitToHeight="0" orientation="portrait" r:id="rId1"/>
  <headerFooter alignWithMargins="0">
    <oddHeader>&amp;LProduct:&amp;B AT91SAM7L-STK&amp;B
BOM type:&amp;B BOARD&amp;B
BOM revision:&amp;B 001&amp;B
BOM release date:&amp;B 19-mars-2008&amp;B
-----------------------------------------</oddHeader>
    <oddFooter>&amp;LAT91SAM7L-STK_BOARDBOM_001.xls / &amp;B&amp;A&amp;B / &amp;D - &amp;T &amp;RPage 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History </vt:lpstr>
      <vt:lpstr>BOM</vt:lpstr>
      <vt:lpstr>BOM addition</vt:lpstr>
      <vt:lpstr>BOM!Print_Area</vt:lpstr>
      <vt:lpstr>'BOM addition'!Print_Area</vt:lpstr>
      <vt:lpstr>'History '!Print_Area</vt:lpstr>
    </vt:vector>
  </TitlesOfParts>
  <Company>ATMEL_ES2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 Users</dc:creator>
  <cp:lastModifiedBy>ppeyron</cp:lastModifiedBy>
  <cp:lastPrinted>2008-03-19T14:57:07Z</cp:lastPrinted>
  <dcterms:created xsi:type="dcterms:W3CDTF">2007-01-19T13:52:43Z</dcterms:created>
  <dcterms:modified xsi:type="dcterms:W3CDTF">2012-08-22T09:27:15Z</dcterms:modified>
</cp:coreProperties>
</file>